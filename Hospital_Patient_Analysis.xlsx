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613d2359f6a3f842/Pictures/Desktop/"/>
    </mc:Choice>
  </mc:AlternateContent>
  <xr:revisionPtr revIDLastSave="1266" documentId="8_{B646DD54-36B7-49C1-AB7B-26E923DA31AD}" xr6:coauthVersionLast="47" xr6:coauthVersionMax="47" xr10:uidLastSave="{98AEC175-5F96-44A8-8510-A38E6DC4D2B5}"/>
  <bookViews>
    <workbookView xWindow="-108" yWindow="-108" windowWidth="23256" windowHeight="12456" activeTab="2" xr2:uid="{00000000-000D-0000-FFFF-FFFF00000000}"/>
  </bookViews>
  <sheets>
    <sheet name="Hospital_Data" sheetId="1" r:id="rId1"/>
    <sheet name="Sheet1" sheetId="2" r:id="rId2"/>
    <sheet name="Sheet2" sheetId="3" r:id="rId3"/>
  </sheets>
  <definedNames>
    <definedName name="_xlchart.v1.0" hidden="1">Sheet1!$C$105:$C$110</definedName>
    <definedName name="_xlchart.v1.1" hidden="1">Sheet1!$D$105:$D$110</definedName>
    <definedName name="Slicer_City">#N/A</definedName>
    <definedName name="Slicer_Department">#N/A</definedName>
    <definedName name="Slicer_Diagnosis">#N/A</definedName>
    <definedName name="Slicer_Gender">#N/A</definedName>
    <definedName name="Slicer_Insuran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3" i="2" l="1" a="1"/>
  <c r="C123" i="2" s="1"/>
  <c r="C105" i="2" a="1"/>
  <c r="C105" i="2" s="1"/>
  <c r="B100" i="2"/>
  <c r="C96" i="2"/>
  <c r="B88" i="2"/>
  <c r="B91" i="2"/>
  <c r="B8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<sst xmlns="http://schemas.openxmlformats.org/spreadsheetml/2006/main" count="10080" uniqueCount="1513">
  <si>
    <t>Patient_ID</t>
  </si>
  <si>
    <t>Admission_Date</t>
  </si>
  <si>
    <t>Age</t>
  </si>
  <si>
    <t>Gender</t>
  </si>
  <si>
    <t>Department</t>
  </si>
  <si>
    <t>Doctor</t>
  </si>
  <si>
    <t>Diagnosis</t>
  </si>
  <si>
    <t>Treatment_Cost</t>
  </si>
  <si>
    <t>Length_of_Stay</t>
  </si>
  <si>
    <t>Insurance</t>
  </si>
  <si>
    <t>Blood_Group</t>
  </si>
  <si>
    <t>City</t>
  </si>
  <si>
    <t>Discharge_Status</t>
  </si>
  <si>
    <t>P0001</t>
  </si>
  <si>
    <t>2025-12-19</t>
  </si>
  <si>
    <t>Male</t>
  </si>
  <si>
    <t>Neurology</t>
  </si>
  <si>
    <t>Dr. Nisha</t>
  </si>
  <si>
    <t>Fracture</t>
  </si>
  <si>
    <t>Yes</t>
  </si>
  <si>
    <t>A+</t>
  </si>
  <si>
    <t>Kochi</t>
  </si>
  <si>
    <t>Referred</t>
  </si>
  <si>
    <t>P0002</t>
  </si>
  <si>
    <t>2026-04-30</t>
  </si>
  <si>
    <t>General Medicine</t>
  </si>
  <si>
    <t>Dr. Arun</t>
  </si>
  <si>
    <t>Fever</t>
  </si>
  <si>
    <t>No</t>
  </si>
  <si>
    <t>B+</t>
  </si>
  <si>
    <t>Thrissur</t>
  </si>
  <si>
    <t>Under Treatment</t>
  </si>
  <si>
    <t>P0003</t>
  </si>
  <si>
    <t>2025-04-16</t>
  </si>
  <si>
    <t>Female</t>
  </si>
  <si>
    <t>ENT</t>
  </si>
  <si>
    <t>Migraine</t>
  </si>
  <si>
    <t>P0004</t>
  </si>
  <si>
    <t>2026-02-12</t>
  </si>
  <si>
    <t>B-</t>
  </si>
  <si>
    <t>Alappuzha</t>
  </si>
  <si>
    <t>P0005</t>
  </si>
  <si>
    <t>2025-04-18</t>
  </si>
  <si>
    <t>Hypertension</t>
  </si>
  <si>
    <t>AB+</t>
  </si>
  <si>
    <t>Kozhikode</t>
  </si>
  <si>
    <t>P0006</t>
  </si>
  <si>
    <t>2026-04-20</t>
  </si>
  <si>
    <t>P0007</t>
  </si>
  <si>
    <t>2025-11-02</t>
  </si>
  <si>
    <t>AB-</t>
  </si>
  <si>
    <t>Trivandrum</t>
  </si>
  <si>
    <t>P0008</t>
  </si>
  <si>
    <t>2026-06-15</t>
  </si>
  <si>
    <t>Asthma</t>
  </si>
  <si>
    <t>A-</t>
  </si>
  <si>
    <t>P0009</t>
  </si>
  <si>
    <t>2026-04-29</t>
  </si>
  <si>
    <t>Recovered</t>
  </si>
  <si>
    <t>P0010</t>
  </si>
  <si>
    <t>2025-08-18</t>
  </si>
  <si>
    <t>Dr. Priya</t>
  </si>
  <si>
    <t>P0011</t>
  </si>
  <si>
    <t>2025-11-21</t>
  </si>
  <si>
    <t>Pediatrics</t>
  </si>
  <si>
    <t>P0012</t>
  </si>
  <si>
    <t>2025-10-03</t>
  </si>
  <si>
    <t>P0013</t>
  </si>
  <si>
    <t>2025-10-06</t>
  </si>
  <si>
    <t>O+</t>
  </si>
  <si>
    <t>P0014</t>
  </si>
  <si>
    <t>2025-09-12</t>
  </si>
  <si>
    <t>P0015</t>
  </si>
  <si>
    <t>2025-04-20</t>
  </si>
  <si>
    <t>O-</t>
  </si>
  <si>
    <t>P0016</t>
  </si>
  <si>
    <t>2026-04-21</t>
  </si>
  <si>
    <t>P0017</t>
  </si>
  <si>
    <t>2026-02-07</t>
  </si>
  <si>
    <t>Dr. Anil</t>
  </si>
  <si>
    <t>Diabetes</t>
  </si>
  <si>
    <t>P0018</t>
  </si>
  <si>
    <t>2025-07-25</t>
  </si>
  <si>
    <t>Cardiology</t>
  </si>
  <si>
    <t>Dr. Meera</t>
  </si>
  <si>
    <t>P0019</t>
  </si>
  <si>
    <t>2025-06-06</t>
  </si>
  <si>
    <t>P0020</t>
  </si>
  <si>
    <t>2025-06-29</t>
  </si>
  <si>
    <t>Dr. Rahul</t>
  </si>
  <si>
    <t>P0021</t>
  </si>
  <si>
    <t>2025-03-30</t>
  </si>
  <si>
    <t>P0022</t>
  </si>
  <si>
    <t>2025-01-31</t>
  </si>
  <si>
    <t>P0023</t>
  </si>
  <si>
    <t>2026-05-06</t>
  </si>
  <si>
    <t>P0024</t>
  </si>
  <si>
    <t>2025-01-04</t>
  </si>
  <si>
    <t>P0025</t>
  </si>
  <si>
    <t>2026-01-02</t>
  </si>
  <si>
    <t>P0026</t>
  </si>
  <si>
    <t>2025-02-05</t>
  </si>
  <si>
    <t>P0027</t>
  </si>
  <si>
    <t>2025-03-20</t>
  </si>
  <si>
    <t>P0028</t>
  </si>
  <si>
    <t>2025-05-03</t>
  </si>
  <si>
    <t>P0029</t>
  </si>
  <si>
    <t>2025-09-01</t>
  </si>
  <si>
    <t>P0030</t>
  </si>
  <si>
    <t>2025-09-30</t>
  </si>
  <si>
    <t>P0031</t>
  </si>
  <si>
    <t>2025-11-30</t>
  </si>
  <si>
    <t>Kollam</t>
  </si>
  <si>
    <t>P0032</t>
  </si>
  <si>
    <t>2025-10-19</t>
  </si>
  <si>
    <t>P0033</t>
  </si>
  <si>
    <t>2025-02-22</t>
  </si>
  <si>
    <t>Orthopedics</t>
  </si>
  <si>
    <t>P0034</t>
  </si>
  <si>
    <t>2025-03-25</t>
  </si>
  <si>
    <t>P0035</t>
  </si>
  <si>
    <t>2026-01-22</t>
  </si>
  <si>
    <t>P0036</t>
  </si>
  <si>
    <t>2025-01-03</t>
  </si>
  <si>
    <t>P0037</t>
  </si>
  <si>
    <t>2025-12-27</t>
  </si>
  <si>
    <t>P0038</t>
  </si>
  <si>
    <t>2025-06-16</t>
  </si>
  <si>
    <t>P0039</t>
  </si>
  <si>
    <t>2025-08-21</t>
  </si>
  <si>
    <t>P0040</t>
  </si>
  <si>
    <t>2025-01-02</t>
  </si>
  <si>
    <t>P0041</t>
  </si>
  <si>
    <t>2026-04-24</t>
  </si>
  <si>
    <t>P0042</t>
  </si>
  <si>
    <t>2026-02-26</t>
  </si>
  <si>
    <t>P0043</t>
  </si>
  <si>
    <t>2025-03-14</t>
  </si>
  <si>
    <t>P0044</t>
  </si>
  <si>
    <t>2025-04-29</t>
  </si>
  <si>
    <t>P0045</t>
  </si>
  <si>
    <t>2025-12-26</t>
  </si>
  <si>
    <t>P0046</t>
  </si>
  <si>
    <t>2025-07-11</t>
  </si>
  <si>
    <t>P0047</t>
  </si>
  <si>
    <t>P0048</t>
  </si>
  <si>
    <t>2025-04-12</t>
  </si>
  <si>
    <t>P0049</t>
  </si>
  <si>
    <t>2026-05-20</t>
  </si>
  <si>
    <t>P0050</t>
  </si>
  <si>
    <t>2025-07-17</t>
  </si>
  <si>
    <t>P0051</t>
  </si>
  <si>
    <t>2026-06-23</t>
  </si>
  <si>
    <t>P0052</t>
  </si>
  <si>
    <t>2025-08-08</t>
  </si>
  <si>
    <t>P0053</t>
  </si>
  <si>
    <t>2025-12-11</t>
  </si>
  <si>
    <t>P0054</t>
  </si>
  <si>
    <t>2026-04-06</t>
  </si>
  <si>
    <t>P0055</t>
  </si>
  <si>
    <t>2025-10-05</t>
  </si>
  <si>
    <t>P0056</t>
  </si>
  <si>
    <t>2026-04-10</t>
  </si>
  <si>
    <t>P0057</t>
  </si>
  <si>
    <t>2026-04-11</t>
  </si>
  <si>
    <t>P0058</t>
  </si>
  <si>
    <t>2025-12-08</t>
  </si>
  <si>
    <t>P0059</t>
  </si>
  <si>
    <t>2025-04-04</t>
  </si>
  <si>
    <t>P0060</t>
  </si>
  <si>
    <t>2026-02-01</t>
  </si>
  <si>
    <t>P0061</t>
  </si>
  <si>
    <t>2025-11-05</t>
  </si>
  <si>
    <t>P0062</t>
  </si>
  <si>
    <t>2025-06-20</t>
  </si>
  <si>
    <t>P0063</t>
  </si>
  <si>
    <t>2025-12-07</t>
  </si>
  <si>
    <t>P0064</t>
  </si>
  <si>
    <t>2025-02-14</t>
  </si>
  <si>
    <t>P0065</t>
  </si>
  <si>
    <t>2026-04-09</t>
  </si>
  <si>
    <t>P0066</t>
  </si>
  <si>
    <t>2025-01-22</t>
  </si>
  <si>
    <t>P0067</t>
  </si>
  <si>
    <t>2025-05-14</t>
  </si>
  <si>
    <t>P0068</t>
  </si>
  <si>
    <t>2026-06-07</t>
  </si>
  <si>
    <t>P0069</t>
  </si>
  <si>
    <t>2026-06-09</t>
  </si>
  <si>
    <t>P0070</t>
  </si>
  <si>
    <t>2025-03-02</t>
  </si>
  <si>
    <t>P0071</t>
  </si>
  <si>
    <t>2025-07-04</t>
  </si>
  <si>
    <t>P0072</t>
  </si>
  <si>
    <t>2025-09-10</t>
  </si>
  <si>
    <t>P0073</t>
  </si>
  <si>
    <t>2025-02-12</t>
  </si>
  <si>
    <t>P0074</t>
  </si>
  <si>
    <t>2026-05-12</t>
  </si>
  <si>
    <t>P0075</t>
  </si>
  <si>
    <t>2025-11-16</t>
  </si>
  <si>
    <t>P0076</t>
  </si>
  <si>
    <t>P0077</t>
  </si>
  <si>
    <t>2025-11-19</t>
  </si>
  <si>
    <t>P0078</t>
  </si>
  <si>
    <t>2025-04-15</t>
  </si>
  <si>
    <t>P0079</t>
  </si>
  <si>
    <t>2025-04-01</t>
  </si>
  <si>
    <t>P0080</t>
  </si>
  <si>
    <t>P0081</t>
  </si>
  <si>
    <t>2025-05-11</t>
  </si>
  <si>
    <t>P0082</t>
  </si>
  <si>
    <t>2026-05-26</t>
  </si>
  <si>
    <t>P0083</t>
  </si>
  <si>
    <t>2025-05-01</t>
  </si>
  <si>
    <t>P0084</t>
  </si>
  <si>
    <t>2025-04-24</t>
  </si>
  <si>
    <t>P0085</t>
  </si>
  <si>
    <t>2025-10-27</t>
  </si>
  <si>
    <t>P0086</t>
  </si>
  <si>
    <t>2025-09-28</t>
  </si>
  <si>
    <t>P0087</t>
  </si>
  <si>
    <t>2025-04-23</t>
  </si>
  <si>
    <t>P0088</t>
  </si>
  <si>
    <t>2025-12-05</t>
  </si>
  <si>
    <t>P0089</t>
  </si>
  <si>
    <t>P0090</t>
  </si>
  <si>
    <t>2025-07-13</t>
  </si>
  <si>
    <t>P0091</t>
  </si>
  <si>
    <t>2025-08-22</t>
  </si>
  <si>
    <t>P0092</t>
  </si>
  <si>
    <t>2025-12-03</t>
  </si>
  <si>
    <t>P0093</t>
  </si>
  <si>
    <t>P0094</t>
  </si>
  <si>
    <t>P0095</t>
  </si>
  <si>
    <t>2026-01-05</t>
  </si>
  <si>
    <t>P0096</t>
  </si>
  <si>
    <t>2026-05-21</t>
  </si>
  <si>
    <t>P0097</t>
  </si>
  <si>
    <t>P0098</t>
  </si>
  <si>
    <t>2026-03-04</t>
  </si>
  <si>
    <t>P0099</t>
  </si>
  <si>
    <t>2025-04-11</t>
  </si>
  <si>
    <t>P0100</t>
  </si>
  <si>
    <t>2025-05-23</t>
  </si>
  <si>
    <t>P0101</t>
  </si>
  <si>
    <t>2025-10-13</t>
  </si>
  <si>
    <t>P0102</t>
  </si>
  <si>
    <t>2025-01-14</t>
  </si>
  <si>
    <t>P0103</t>
  </si>
  <si>
    <t>P0104</t>
  </si>
  <si>
    <t>2026-04-03</t>
  </si>
  <si>
    <t>P0105</t>
  </si>
  <si>
    <t>P0106</t>
  </si>
  <si>
    <t>2025-11-17</t>
  </si>
  <si>
    <t>P0107</t>
  </si>
  <si>
    <t>2026-03-12</t>
  </si>
  <si>
    <t>P0108</t>
  </si>
  <si>
    <t>P0109</t>
  </si>
  <si>
    <t>2025-07-22</t>
  </si>
  <si>
    <t>P0110</t>
  </si>
  <si>
    <t>2026-01-19</t>
  </si>
  <si>
    <t>P0111</t>
  </si>
  <si>
    <t>2025-11-18</t>
  </si>
  <si>
    <t>P0112</t>
  </si>
  <si>
    <t>2026-01-27</t>
  </si>
  <si>
    <t>P0113</t>
  </si>
  <si>
    <t>2025-06-01</t>
  </si>
  <si>
    <t>P0114</t>
  </si>
  <si>
    <t>2025-02-17</t>
  </si>
  <si>
    <t>P0115</t>
  </si>
  <si>
    <t>P0116</t>
  </si>
  <si>
    <t>2026-02-03</t>
  </si>
  <si>
    <t>P0117</t>
  </si>
  <si>
    <t>P0118</t>
  </si>
  <si>
    <t>P0119</t>
  </si>
  <si>
    <t>2025-12-06</t>
  </si>
  <si>
    <t>P0120</t>
  </si>
  <si>
    <t>2025-06-10</t>
  </si>
  <si>
    <t>P0121</t>
  </si>
  <si>
    <t>2025-12-04</t>
  </si>
  <si>
    <t>P0122</t>
  </si>
  <si>
    <t>2026-05-19</t>
  </si>
  <si>
    <t>P0123</t>
  </si>
  <si>
    <t>P0124</t>
  </si>
  <si>
    <t>2026-02-11</t>
  </si>
  <si>
    <t>P0125</t>
  </si>
  <si>
    <t>2025-10-14</t>
  </si>
  <si>
    <t>P0126</t>
  </si>
  <si>
    <t>2025-06-04</t>
  </si>
  <si>
    <t>P0127</t>
  </si>
  <si>
    <t>2025-08-24</t>
  </si>
  <si>
    <t>P0128</t>
  </si>
  <si>
    <t>2026-01-14</t>
  </si>
  <si>
    <t>P0129</t>
  </si>
  <si>
    <t>P0130</t>
  </si>
  <si>
    <t>P0131</t>
  </si>
  <si>
    <t>2026-01-18</t>
  </si>
  <si>
    <t>P0132</t>
  </si>
  <si>
    <t>2026-02-20</t>
  </si>
  <si>
    <t>P0133</t>
  </si>
  <si>
    <t>2025-11-03</t>
  </si>
  <si>
    <t>P0134</t>
  </si>
  <si>
    <t>2025-09-26</t>
  </si>
  <si>
    <t>P0135</t>
  </si>
  <si>
    <t>2025-03-06</t>
  </si>
  <si>
    <t>P0136</t>
  </si>
  <si>
    <t>2025-03-22</t>
  </si>
  <si>
    <t>P0137</t>
  </si>
  <si>
    <t>2025-11-09</t>
  </si>
  <si>
    <t>P0138</t>
  </si>
  <si>
    <t>P0139</t>
  </si>
  <si>
    <t>2026-05-16</t>
  </si>
  <si>
    <t>P0140</t>
  </si>
  <si>
    <t>P0141</t>
  </si>
  <si>
    <t>P0142</t>
  </si>
  <si>
    <t>2026-05-28</t>
  </si>
  <si>
    <t>P0143</t>
  </si>
  <si>
    <t>2025-09-09</t>
  </si>
  <si>
    <t>P0144</t>
  </si>
  <si>
    <t>2025-12-28</t>
  </si>
  <si>
    <t>P0145</t>
  </si>
  <si>
    <t>2025-03-11</t>
  </si>
  <si>
    <t>P0146</t>
  </si>
  <si>
    <t>2025-06-24</t>
  </si>
  <si>
    <t>P0147</t>
  </si>
  <si>
    <t>2025-05-17</t>
  </si>
  <si>
    <t>P0148</t>
  </si>
  <si>
    <t>2025-08-07</t>
  </si>
  <si>
    <t>P0149</t>
  </si>
  <si>
    <t>2026-06-12</t>
  </si>
  <si>
    <t>P0150</t>
  </si>
  <si>
    <t>P0151</t>
  </si>
  <si>
    <t>2026-06-11</t>
  </si>
  <si>
    <t>P0152</t>
  </si>
  <si>
    <t>2025-02-21</t>
  </si>
  <si>
    <t>P0153</t>
  </si>
  <si>
    <t>P0154</t>
  </si>
  <si>
    <t>2025-08-17</t>
  </si>
  <si>
    <t>P0155</t>
  </si>
  <si>
    <t>2026-04-04</t>
  </si>
  <si>
    <t>P0156</t>
  </si>
  <si>
    <t>2025-11-01</t>
  </si>
  <si>
    <t>P0157</t>
  </si>
  <si>
    <t>2025-11-15</t>
  </si>
  <si>
    <t>P0158</t>
  </si>
  <si>
    <t>2026-06-14</t>
  </si>
  <si>
    <t>P0159</t>
  </si>
  <si>
    <t>2025-07-10</t>
  </si>
  <si>
    <t>P0160</t>
  </si>
  <si>
    <t>2025-05-31</t>
  </si>
  <si>
    <t>P0161</t>
  </si>
  <si>
    <t>P0162</t>
  </si>
  <si>
    <t>2026-03-27</t>
  </si>
  <si>
    <t>P0163</t>
  </si>
  <si>
    <t>2025-04-22</t>
  </si>
  <si>
    <t>P0164</t>
  </si>
  <si>
    <t>P0165</t>
  </si>
  <si>
    <t>P0166</t>
  </si>
  <si>
    <t>P0167</t>
  </si>
  <si>
    <t>2025-02-23</t>
  </si>
  <si>
    <t>P0168</t>
  </si>
  <si>
    <t>2026-05-05</t>
  </si>
  <si>
    <t>P0169</t>
  </si>
  <si>
    <t>P0170</t>
  </si>
  <si>
    <t>P0171</t>
  </si>
  <si>
    <t>2026-02-09</t>
  </si>
  <si>
    <t>P0172</t>
  </si>
  <si>
    <t>2026-01-04</t>
  </si>
  <si>
    <t>P0173</t>
  </si>
  <si>
    <t>P0174</t>
  </si>
  <si>
    <t>2026-02-28</t>
  </si>
  <si>
    <t>P0175</t>
  </si>
  <si>
    <t>2026-02-02</t>
  </si>
  <si>
    <t>P0176</t>
  </si>
  <si>
    <t>2026-02-24</t>
  </si>
  <si>
    <t>P0177</t>
  </si>
  <si>
    <t>2026-03-19</t>
  </si>
  <si>
    <t>P0178</t>
  </si>
  <si>
    <t>2025-01-16</t>
  </si>
  <si>
    <t>P0179</t>
  </si>
  <si>
    <t>2026-06-05</t>
  </si>
  <si>
    <t>P0180</t>
  </si>
  <si>
    <t>2025-12-25</t>
  </si>
  <si>
    <t>P0181</t>
  </si>
  <si>
    <t>2025-12-22</t>
  </si>
  <si>
    <t>P0182</t>
  </si>
  <si>
    <t>2026-05-30</t>
  </si>
  <si>
    <t>P0183</t>
  </si>
  <si>
    <t>P0184</t>
  </si>
  <si>
    <t>2025-05-09</t>
  </si>
  <si>
    <t>P0185</t>
  </si>
  <si>
    <t>P0186</t>
  </si>
  <si>
    <t>2026-05-18</t>
  </si>
  <si>
    <t>P0187</t>
  </si>
  <si>
    <t>2026-06-24</t>
  </si>
  <si>
    <t>P0188</t>
  </si>
  <si>
    <t>2025-10-12</t>
  </si>
  <si>
    <t>P0189</t>
  </si>
  <si>
    <t>2025-06-15</t>
  </si>
  <si>
    <t>P0190</t>
  </si>
  <si>
    <t>2025-02-16</t>
  </si>
  <si>
    <t>P0191</t>
  </si>
  <si>
    <t>2025-12-09</t>
  </si>
  <si>
    <t>P0192</t>
  </si>
  <si>
    <t>2025-06-25</t>
  </si>
  <si>
    <t>P0193</t>
  </si>
  <si>
    <t>P0194</t>
  </si>
  <si>
    <t>P0195</t>
  </si>
  <si>
    <t>P0196</t>
  </si>
  <si>
    <t>2026-04-01</t>
  </si>
  <si>
    <t>P0197</t>
  </si>
  <si>
    <t>2025-10-11</t>
  </si>
  <si>
    <t>P0198</t>
  </si>
  <si>
    <t>P0199</t>
  </si>
  <si>
    <t>P0200</t>
  </si>
  <si>
    <t>2026-03-17</t>
  </si>
  <si>
    <t>P0201</t>
  </si>
  <si>
    <t>2026-05-08</t>
  </si>
  <si>
    <t>P0202</t>
  </si>
  <si>
    <t>2026-03-02</t>
  </si>
  <si>
    <t>P0203</t>
  </si>
  <si>
    <t>P0204</t>
  </si>
  <si>
    <t>2026-06-20</t>
  </si>
  <si>
    <t>P0205</t>
  </si>
  <si>
    <t>P0206</t>
  </si>
  <si>
    <t>2025-05-25</t>
  </si>
  <si>
    <t>P0207</t>
  </si>
  <si>
    <t>2025-01-18</t>
  </si>
  <si>
    <t>P0208</t>
  </si>
  <si>
    <t>2025-06-21</t>
  </si>
  <si>
    <t>P0209</t>
  </si>
  <si>
    <t>2025-11-14</t>
  </si>
  <si>
    <t>P0210</t>
  </si>
  <si>
    <t>2025-07-09</t>
  </si>
  <si>
    <t>P0211</t>
  </si>
  <si>
    <t>2025-05-19</t>
  </si>
  <si>
    <t>P0212</t>
  </si>
  <si>
    <t>2025-05-30</t>
  </si>
  <si>
    <t>P0213</t>
  </si>
  <si>
    <t>P0214</t>
  </si>
  <si>
    <t>P0215</t>
  </si>
  <si>
    <t>2025-04-13</t>
  </si>
  <si>
    <t>P0216</t>
  </si>
  <si>
    <t>P0217</t>
  </si>
  <si>
    <t>2025-07-24</t>
  </si>
  <si>
    <t>P0218</t>
  </si>
  <si>
    <t>P0219</t>
  </si>
  <si>
    <t>P0220</t>
  </si>
  <si>
    <t>2025-05-29</t>
  </si>
  <si>
    <t>P0221</t>
  </si>
  <si>
    <t>P0222</t>
  </si>
  <si>
    <t>2025-01-19</t>
  </si>
  <si>
    <t>P0223</t>
  </si>
  <si>
    <t>P0224</t>
  </si>
  <si>
    <t>2025-01-05</t>
  </si>
  <si>
    <t>P0225</t>
  </si>
  <si>
    <t>2025-09-25</t>
  </si>
  <si>
    <t>P0226</t>
  </si>
  <si>
    <t>2025-03-29</t>
  </si>
  <si>
    <t>P0227</t>
  </si>
  <si>
    <t>P0228</t>
  </si>
  <si>
    <t>2026-01-07</t>
  </si>
  <si>
    <t>P0229</t>
  </si>
  <si>
    <t>P0230</t>
  </si>
  <si>
    <t>2025-06-12</t>
  </si>
  <si>
    <t>P0231</t>
  </si>
  <si>
    <t>P0232</t>
  </si>
  <si>
    <t>2025-07-02</t>
  </si>
  <si>
    <t>P0233</t>
  </si>
  <si>
    <t>2025-06-09</t>
  </si>
  <si>
    <t>P0234</t>
  </si>
  <si>
    <t>P0235</t>
  </si>
  <si>
    <t>2025-12-31</t>
  </si>
  <si>
    <t>P0236</t>
  </si>
  <si>
    <t>2026-01-03</t>
  </si>
  <si>
    <t>P0237</t>
  </si>
  <si>
    <t>2026-03-13</t>
  </si>
  <si>
    <t>P0238</t>
  </si>
  <si>
    <t>2025-01-21</t>
  </si>
  <si>
    <t>P0239</t>
  </si>
  <si>
    <t>2025-09-07</t>
  </si>
  <si>
    <t>P0240</t>
  </si>
  <si>
    <t>2025-08-10</t>
  </si>
  <si>
    <t>P0241</t>
  </si>
  <si>
    <t>2025-06-14</t>
  </si>
  <si>
    <t>P0242</t>
  </si>
  <si>
    <t>2026-06-03</t>
  </si>
  <si>
    <t>P0243</t>
  </si>
  <si>
    <t>2025-09-08</t>
  </si>
  <si>
    <t>P0244</t>
  </si>
  <si>
    <t>2025-10-30</t>
  </si>
  <si>
    <t>P0245</t>
  </si>
  <si>
    <t>2026-01-29</t>
  </si>
  <si>
    <t>P0246</t>
  </si>
  <si>
    <t>2026-03-28</t>
  </si>
  <si>
    <t>P0247</t>
  </si>
  <si>
    <t>P0248</t>
  </si>
  <si>
    <t>2026-03-26</t>
  </si>
  <si>
    <t>P0249</t>
  </si>
  <si>
    <t>P0250</t>
  </si>
  <si>
    <t>P0251</t>
  </si>
  <si>
    <t>P0252</t>
  </si>
  <si>
    <t>2025-01-08</t>
  </si>
  <si>
    <t>P0253</t>
  </si>
  <si>
    <t>P0254</t>
  </si>
  <si>
    <t>2025-08-31</t>
  </si>
  <si>
    <t>P0255</t>
  </si>
  <si>
    <t>P0256</t>
  </si>
  <si>
    <t>2025-03-19</t>
  </si>
  <si>
    <t>P0257</t>
  </si>
  <si>
    <t>P0258</t>
  </si>
  <si>
    <t>P0259</t>
  </si>
  <si>
    <t>2026-04-05</t>
  </si>
  <si>
    <t>P0260</t>
  </si>
  <si>
    <t>P0261</t>
  </si>
  <si>
    <t>2026-06-16</t>
  </si>
  <si>
    <t>P0262</t>
  </si>
  <si>
    <t>P0263</t>
  </si>
  <si>
    <t>2025-09-29</t>
  </si>
  <si>
    <t>P0264</t>
  </si>
  <si>
    <t>P0265</t>
  </si>
  <si>
    <t>2025-03-17</t>
  </si>
  <si>
    <t>P0266</t>
  </si>
  <si>
    <t>P0267</t>
  </si>
  <si>
    <t>2025-03-03</t>
  </si>
  <si>
    <t>P0268</t>
  </si>
  <si>
    <t>2025-10-24</t>
  </si>
  <si>
    <t>P0269</t>
  </si>
  <si>
    <t>P0270</t>
  </si>
  <si>
    <t>2025-01-10</t>
  </si>
  <si>
    <t>P0271</t>
  </si>
  <si>
    <t>2025-03-04</t>
  </si>
  <si>
    <t>P0272</t>
  </si>
  <si>
    <t>2025-11-26</t>
  </si>
  <si>
    <t>P0273</t>
  </si>
  <si>
    <t>2025-02-03</t>
  </si>
  <si>
    <t>P0274</t>
  </si>
  <si>
    <t>2025-04-17</t>
  </si>
  <si>
    <t>P0275</t>
  </si>
  <si>
    <t>2025-05-10</t>
  </si>
  <si>
    <t>P0276</t>
  </si>
  <si>
    <t>P0277</t>
  </si>
  <si>
    <t>P0278</t>
  </si>
  <si>
    <t>2025-07-07</t>
  </si>
  <si>
    <t>P0279</t>
  </si>
  <si>
    <t>2025-07-21</t>
  </si>
  <si>
    <t>P0280</t>
  </si>
  <si>
    <t>2026-02-08</t>
  </si>
  <si>
    <t>P0281</t>
  </si>
  <si>
    <t>2026-05-23</t>
  </si>
  <si>
    <t>P0282</t>
  </si>
  <si>
    <t>P0283</t>
  </si>
  <si>
    <t>2025-11-08</t>
  </si>
  <si>
    <t>P0284</t>
  </si>
  <si>
    <t>2025-05-12</t>
  </si>
  <si>
    <t>P0285</t>
  </si>
  <si>
    <t>P0286</t>
  </si>
  <si>
    <t>2025-02-08</t>
  </si>
  <si>
    <t>P0287</t>
  </si>
  <si>
    <t>2026-02-21</t>
  </si>
  <si>
    <t>P0288</t>
  </si>
  <si>
    <t>2025-12-12</t>
  </si>
  <si>
    <t>P0289</t>
  </si>
  <si>
    <t>P0290</t>
  </si>
  <si>
    <t>2025-02-24</t>
  </si>
  <si>
    <t>P0291</t>
  </si>
  <si>
    <t>2025-06-26</t>
  </si>
  <si>
    <t>P0292</t>
  </si>
  <si>
    <t>P0293</t>
  </si>
  <si>
    <t>2026-02-06</t>
  </si>
  <si>
    <t>P0294</t>
  </si>
  <si>
    <t>2025-10-16</t>
  </si>
  <si>
    <t>P0295</t>
  </si>
  <si>
    <t>2026-05-11</t>
  </si>
  <si>
    <t>P0296</t>
  </si>
  <si>
    <t>2025-07-08</t>
  </si>
  <si>
    <t>P0297</t>
  </si>
  <si>
    <t>P0298</t>
  </si>
  <si>
    <t>2026-01-15</t>
  </si>
  <si>
    <t>P0299</t>
  </si>
  <si>
    <t>2025-07-05</t>
  </si>
  <si>
    <t>P0300</t>
  </si>
  <si>
    <t>P0301</t>
  </si>
  <si>
    <t>P0302</t>
  </si>
  <si>
    <t>2025-02-01</t>
  </si>
  <si>
    <t>P0303</t>
  </si>
  <si>
    <t>2025-08-30</t>
  </si>
  <si>
    <t>P0304</t>
  </si>
  <si>
    <t>2025-08-01</t>
  </si>
  <si>
    <t>P0305</t>
  </si>
  <si>
    <t>P0306</t>
  </si>
  <si>
    <t>2026-04-22</t>
  </si>
  <si>
    <t>P0307</t>
  </si>
  <si>
    <t>2026-01-21</t>
  </si>
  <si>
    <t>P0308</t>
  </si>
  <si>
    <t>2026-04-08</t>
  </si>
  <si>
    <t>P0309</t>
  </si>
  <si>
    <t>2025-05-15</t>
  </si>
  <si>
    <t>P0310</t>
  </si>
  <si>
    <t>P0311</t>
  </si>
  <si>
    <t>P0312</t>
  </si>
  <si>
    <t>2026-02-25</t>
  </si>
  <si>
    <t>P0313</t>
  </si>
  <si>
    <t>P0314</t>
  </si>
  <si>
    <t>2025-02-11</t>
  </si>
  <si>
    <t>P0315</t>
  </si>
  <si>
    <t>P0316</t>
  </si>
  <si>
    <t>P0317</t>
  </si>
  <si>
    <t>P0318</t>
  </si>
  <si>
    <t>P0319</t>
  </si>
  <si>
    <t>P0320</t>
  </si>
  <si>
    <t>P0321</t>
  </si>
  <si>
    <t>P0322</t>
  </si>
  <si>
    <t>2025-01-06</t>
  </si>
  <si>
    <t>P0323</t>
  </si>
  <si>
    <t>2026-04-18</t>
  </si>
  <si>
    <t>P0324</t>
  </si>
  <si>
    <t>P0325</t>
  </si>
  <si>
    <t>P0326</t>
  </si>
  <si>
    <t>P0327</t>
  </si>
  <si>
    <t>P0328</t>
  </si>
  <si>
    <t>2025-09-11</t>
  </si>
  <si>
    <t>P0329</t>
  </si>
  <si>
    <t>2025-05-02</t>
  </si>
  <si>
    <t>P0330</t>
  </si>
  <si>
    <t>2025-01-13</t>
  </si>
  <si>
    <t>P0331</t>
  </si>
  <si>
    <t>2025-04-19</t>
  </si>
  <si>
    <t>P0332</t>
  </si>
  <si>
    <t>2025-07-28</t>
  </si>
  <si>
    <t>P0333</t>
  </si>
  <si>
    <t>P0334</t>
  </si>
  <si>
    <t>2025-06-30</t>
  </si>
  <si>
    <t>P0335</t>
  </si>
  <si>
    <t>2025-12-29</t>
  </si>
  <si>
    <t>P0336</t>
  </si>
  <si>
    <t>P0337</t>
  </si>
  <si>
    <t>P0338</t>
  </si>
  <si>
    <t>2026-06-21</t>
  </si>
  <si>
    <t>P0339</t>
  </si>
  <si>
    <t>P0340</t>
  </si>
  <si>
    <t>2025-10-21</t>
  </si>
  <si>
    <t>P0341</t>
  </si>
  <si>
    <t>2025-06-18</t>
  </si>
  <si>
    <t>P0342</t>
  </si>
  <si>
    <t>P0343</t>
  </si>
  <si>
    <t>2026-04-02</t>
  </si>
  <si>
    <t>P0344</t>
  </si>
  <si>
    <t>2025-09-15</t>
  </si>
  <si>
    <t>P0345</t>
  </si>
  <si>
    <t>2026-02-10</t>
  </si>
  <si>
    <t>P0346</t>
  </si>
  <si>
    <t>2025-05-07</t>
  </si>
  <si>
    <t>P0347</t>
  </si>
  <si>
    <t>P0348</t>
  </si>
  <si>
    <t>P0349</t>
  </si>
  <si>
    <t>2025-03-26</t>
  </si>
  <si>
    <t>P0350</t>
  </si>
  <si>
    <t>2025-05-20</t>
  </si>
  <si>
    <t>P0351</t>
  </si>
  <si>
    <t>2025-02-10</t>
  </si>
  <si>
    <t>P0352</t>
  </si>
  <si>
    <t>2026-04-19</t>
  </si>
  <si>
    <t>P0353</t>
  </si>
  <si>
    <t>P0354</t>
  </si>
  <si>
    <t>P0355</t>
  </si>
  <si>
    <t>2026-03-09</t>
  </si>
  <si>
    <t>P0356</t>
  </si>
  <si>
    <t>P0357</t>
  </si>
  <si>
    <t>P0358</t>
  </si>
  <si>
    <t>2025-07-19</t>
  </si>
  <si>
    <t>P0359</t>
  </si>
  <si>
    <t>2026-04-13</t>
  </si>
  <si>
    <t>P0360</t>
  </si>
  <si>
    <t>2025-09-04</t>
  </si>
  <si>
    <t>P0361</t>
  </si>
  <si>
    <t>2026-01-24</t>
  </si>
  <si>
    <t>P0362</t>
  </si>
  <si>
    <t>P0363</t>
  </si>
  <si>
    <t>P0364</t>
  </si>
  <si>
    <t>P0365</t>
  </si>
  <si>
    <t>P0366</t>
  </si>
  <si>
    <t>P0367</t>
  </si>
  <si>
    <t>P0368</t>
  </si>
  <si>
    <t>2026-02-05</t>
  </si>
  <si>
    <t>P0369</t>
  </si>
  <si>
    <t>2025-02-28</t>
  </si>
  <si>
    <t>P0370</t>
  </si>
  <si>
    <t>P0371</t>
  </si>
  <si>
    <t>2025-07-20</t>
  </si>
  <si>
    <t>P0372</t>
  </si>
  <si>
    <t>P0373</t>
  </si>
  <si>
    <t>2025-11-04</t>
  </si>
  <si>
    <t>P0374</t>
  </si>
  <si>
    <t>P0375</t>
  </si>
  <si>
    <t>2026-06-22</t>
  </si>
  <si>
    <t>P0376</t>
  </si>
  <si>
    <t>P0377</t>
  </si>
  <si>
    <t>P0378</t>
  </si>
  <si>
    <t>2025-09-23</t>
  </si>
  <si>
    <t>P0379</t>
  </si>
  <si>
    <t>P0380</t>
  </si>
  <si>
    <t>2025-10-07</t>
  </si>
  <si>
    <t>P0381</t>
  </si>
  <si>
    <t>2025-03-28</t>
  </si>
  <si>
    <t>P0382</t>
  </si>
  <si>
    <t>P0383</t>
  </si>
  <si>
    <t>2025-05-24</t>
  </si>
  <si>
    <t>P0384</t>
  </si>
  <si>
    <t>P0385</t>
  </si>
  <si>
    <t>P0386</t>
  </si>
  <si>
    <t>P0387</t>
  </si>
  <si>
    <t>2025-08-04</t>
  </si>
  <si>
    <t>P0388</t>
  </si>
  <si>
    <t>2025-11-27</t>
  </si>
  <si>
    <t>P0389</t>
  </si>
  <si>
    <t>P0390</t>
  </si>
  <si>
    <t>P0391</t>
  </si>
  <si>
    <t>P0392</t>
  </si>
  <si>
    <t>P0393</t>
  </si>
  <si>
    <t>2026-05-07</t>
  </si>
  <si>
    <t>P0394</t>
  </si>
  <si>
    <t>P0395</t>
  </si>
  <si>
    <t>P0396</t>
  </si>
  <si>
    <t>P0397</t>
  </si>
  <si>
    <t>2026-04-28</t>
  </si>
  <si>
    <t>P0398</t>
  </si>
  <si>
    <t>P0399</t>
  </si>
  <si>
    <t>2025-10-28</t>
  </si>
  <si>
    <t>P0400</t>
  </si>
  <si>
    <t>P0401</t>
  </si>
  <si>
    <t>P0402</t>
  </si>
  <si>
    <t>2025-10-18</t>
  </si>
  <si>
    <t>P0403</t>
  </si>
  <si>
    <t>2025-03-18</t>
  </si>
  <si>
    <t>P0404</t>
  </si>
  <si>
    <t>P0405</t>
  </si>
  <si>
    <t>P0406</t>
  </si>
  <si>
    <t>2025-10-15</t>
  </si>
  <si>
    <t>P0407</t>
  </si>
  <si>
    <t>2025-04-02</t>
  </si>
  <si>
    <t>P0408</t>
  </si>
  <si>
    <t>P0409</t>
  </si>
  <si>
    <t>P0410</t>
  </si>
  <si>
    <t>2025-07-29</t>
  </si>
  <si>
    <t>P0411</t>
  </si>
  <si>
    <t>2025-09-22</t>
  </si>
  <si>
    <t>P0412</t>
  </si>
  <si>
    <t>2026-06-18</t>
  </si>
  <si>
    <t>P0413</t>
  </si>
  <si>
    <t>P0414</t>
  </si>
  <si>
    <t>2025-07-23</t>
  </si>
  <si>
    <t>P0415</t>
  </si>
  <si>
    <t>P0416</t>
  </si>
  <si>
    <t>2025-03-31</t>
  </si>
  <si>
    <t>P0417</t>
  </si>
  <si>
    <t>2025-05-05</t>
  </si>
  <si>
    <t>P0418</t>
  </si>
  <si>
    <t>2025-12-01</t>
  </si>
  <si>
    <t>P0419</t>
  </si>
  <si>
    <t>2025-01-12</t>
  </si>
  <si>
    <t>P0420</t>
  </si>
  <si>
    <t>P0421</t>
  </si>
  <si>
    <t>2026-02-27</t>
  </si>
  <si>
    <t>P0422</t>
  </si>
  <si>
    <t>2026-04-12</t>
  </si>
  <si>
    <t>P0423</t>
  </si>
  <si>
    <t>2026-05-15</t>
  </si>
  <si>
    <t>P0424</t>
  </si>
  <si>
    <t>P0425</t>
  </si>
  <si>
    <t>2026-05-29</t>
  </si>
  <si>
    <t>P0426</t>
  </si>
  <si>
    <t>P0427</t>
  </si>
  <si>
    <t>P0428</t>
  </si>
  <si>
    <t>2025-06-23</t>
  </si>
  <si>
    <t>P0429</t>
  </si>
  <si>
    <t>P0430</t>
  </si>
  <si>
    <t>P0431</t>
  </si>
  <si>
    <t>P0432</t>
  </si>
  <si>
    <t>P0433</t>
  </si>
  <si>
    <t>P0434</t>
  </si>
  <si>
    <t>P0435</t>
  </si>
  <si>
    <t>P0436</t>
  </si>
  <si>
    <t>P0437</t>
  </si>
  <si>
    <t>P0438</t>
  </si>
  <si>
    <t>P0439</t>
  </si>
  <si>
    <t>2025-05-13</t>
  </si>
  <si>
    <t>P0440</t>
  </si>
  <si>
    <t>2025-02-07</t>
  </si>
  <si>
    <t>P0441</t>
  </si>
  <si>
    <t>P0442</t>
  </si>
  <si>
    <t>P0443</t>
  </si>
  <si>
    <t>2025-11-11</t>
  </si>
  <si>
    <t>P0444</t>
  </si>
  <si>
    <t>2025-01-07</t>
  </si>
  <si>
    <t>P0445</t>
  </si>
  <si>
    <t>P0446</t>
  </si>
  <si>
    <t>2026-02-16</t>
  </si>
  <si>
    <t>P0447</t>
  </si>
  <si>
    <t>P0448</t>
  </si>
  <si>
    <t>2025-08-11</t>
  </si>
  <si>
    <t>P0449</t>
  </si>
  <si>
    <t>2026-02-04</t>
  </si>
  <si>
    <t>P0450</t>
  </si>
  <si>
    <t>2025-09-03</t>
  </si>
  <si>
    <t>P0451</t>
  </si>
  <si>
    <t>P0452</t>
  </si>
  <si>
    <t>2026-01-13</t>
  </si>
  <si>
    <t>P0453</t>
  </si>
  <si>
    <t>P0454</t>
  </si>
  <si>
    <t>2025-11-22</t>
  </si>
  <si>
    <t>P0455</t>
  </si>
  <si>
    <t>P0456</t>
  </si>
  <si>
    <t>2025-08-16</t>
  </si>
  <si>
    <t>P0457</t>
  </si>
  <si>
    <t>P0458</t>
  </si>
  <si>
    <t>2026-06-10</t>
  </si>
  <si>
    <t>P0459</t>
  </si>
  <si>
    <t>2025-03-05</t>
  </si>
  <si>
    <t>P0460</t>
  </si>
  <si>
    <t>2025-03-27</t>
  </si>
  <si>
    <t>P0461</t>
  </si>
  <si>
    <t>P0462</t>
  </si>
  <si>
    <t>P0463</t>
  </si>
  <si>
    <t>P0464</t>
  </si>
  <si>
    <t>P0465</t>
  </si>
  <si>
    <t>P0466</t>
  </si>
  <si>
    <t>P0467</t>
  </si>
  <si>
    <t>2025-09-18</t>
  </si>
  <si>
    <t>P0468</t>
  </si>
  <si>
    <t>2026-05-13</t>
  </si>
  <si>
    <t>P0469</t>
  </si>
  <si>
    <t>2026-03-23</t>
  </si>
  <si>
    <t>P0470</t>
  </si>
  <si>
    <t>2025-03-13</t>
  </si>
  <si>
    <t>P0471</t>
  </si>
  <si>
    <t>2025-06-03</t>
  </si>
  <si>
    <t>P0472</t>
  </si>
  <si>
    <t>2025-05-26</t>
  </si>
  <si>
    <t>P0473</t>
  </si>
  <si>
    <t>2025-02-20</t>
  </si>
  <si>
    <t>P0474</t>
  </si>
  <si>
    <t>P0475</t>
  </si>
  <si>
    <t>P0476</t>
  </si>
  <si>
    <t>2026-05-02</t>
  </si>
  <si>
    <t>P0477</t>
  </si>
  <si>
    <t>2025-04-10</t>
  </si>
  <si>
    <t>P0478</t>
  </si>
  <si>
    <t>2025-06-05</t>
  </si>
  <si>
    <t>P0479</t>
  </si>
  <si>
    <t>P0480</t>
  </si>
  <si>
    <t>2025-02-04</t>
  </si>
  <si>
    <t>P0481</t>
  </si>
  <si>
    <t>2025-03-15</t>
  </si>
  <si>
    <t>P0482</t>
  </si>
  <si>
    <t>P0483</t>
  </si>
  <si>
    <t>2026-02-14</t>
  </si>
  <si>
    <t>P0484</t>
  </si>
  <si>
    <t>P0485</t>
  </si>
  <si>
    <t>2025-12-10</t>
  </si>
  <si>
    <t>P0486</t>
  </si>
  <si>
    <t>2026-01-01</t>
  </si>
  <si>
    <t>P0487</t>
  </si>
  <si>
    <t>P0488</t>
  </si>
  <si>
    <t>P0489</t>
  </si>
  <si>
    <t>P0490</t>
  </si>
  <si>
    <t>2025-03-21</t>
  </si>
  <si>
    <t>P0491</t>
  </si>
  <si>
    <t>P0492</t>
  </si>
  <si>
    <t>P0493</t>
  </si>
  <si>
    <t>P0494</t>
  </si>
  <si>
    <t>P0495</t>
  </si>
  <si>
    <t>P0496</t>
  </si>
  <si>
    <t>2026-05-04</t>
  </si>
  <si>
    <t>P0497</t>
  </si>
  <si>
    <t>2025-08-09</t>
  </si>
  <si>
    <t>P0498</t>
  </si>
  <si>
    <t>P0499</t>
  </si>
  <si>
    <t>P0500</t>
  </si>
  <si>
    <t>2025-02-27</t>
  </si>
  <si>
    <t>P0501</t>
  </si>
  <si>
    <t>P0502</t>
  </si>
  <si>
    <t>2025-05-21</t>
  </si>
  <si>
    <t>P0503</t>
  </si>
  <si>
    <t>P0504</t>
  </si>
  <si>
    <t>2026-01-11</t>
  </si>
  <si>
    <t>P0505</t>
  </si>
  <si>
    <t>2025-10-20</t>
  </si>
  <si>
    <t>P0506</t>
  </si>
  <si>
    <t>P0507</t>
  </si>
  <si>
    <t>P0508</t>
  </si>
  <si>
    <t>P0509</t>
  </si>
  <si>
    <t>2025-01-28</t>
  </si>
  <si>
    <t>P0510</t>
  </si>
  <si>
    <t>P0511</t>
  </si>
  <si>
    <t>2026-03-08</t>
  </si>
  <si>
    <t>P0512</t>
  </si>
  <si>
    <t>P0513</t>
  </si>
  <si>
    <t>2025-08-20</t>
  </si>
  <si>
    <t>P0514</t>
  </si>
  <si>
    <t>2026-02-23</t>
  </si>
  <si>
    <t>P0515</t>
  </si>
  <si>
    <t>2025-04-27</t>
  </si>
  <si>
    <t>P0516</t>
  </si>
  <si>
    <t>P0517</t>
  </si>
  <si>
    <t>P0518</t>
  </si>
  <si>
    <t>2025-11-28</t>
  </si>
  <si>
    <t>P0519</t>
  </si>
  <si>
    <t>2025-06-28</t>
  </si>
  <si>
    <t>P0520</t>
  </si>
  <si>
    <t>2025-05-16</t>
  </si>
  <si>
    <t>P0521</t>
  </si>
  <si>
    <t>2026-02-18</t>
  </si>
  <si>
    <t>P0522</t>
  </si>
  <si>
    <t>2025-12-21</t>
  </si>
  <si>
    <t>P0523</t>
  </si>
  <si>
    <t>P0524</t>
  </si>
  <si>
    <t>2026-04-14</t>
  </si>
  <si>
    <t>P0525</t>
  </si>
  <si>
    <t>P0526</t>
  </si>
  <si>
    <t>P0527</t>
  </si>
  <si>
    <t>P0528</t>
  </si>
  <si>
    <t>2025-07-03</t>
  </si>
  <si>
    <t>P0529</t>
  </si>
  <si>
    <t>P0530</t>
  </si>
  <si>
    <t>P0531</t>
  </si>
  <si>
    <t>2026-03-31</t>
  </si>
  <si>
    <t>P0532</t>
  </si>
  <si>
    <t>P0533</t>
  </si>
  <si>
    <t>P0534</t>
  </si>
  <si>
    <t>P0535</t>
  </si>
  <si>
    <t>2025-08-05</t>
  </si>
  <si>
    <t>P0536</t>
  </si>
  <si>
    <t>2025-01-15</t>
  </si>
  <si>
    <t>P0537</t>
  </si>
  <si>
    <t>P0538</t>
  </si>
  <si>
    <t>P0539</t>
  </si>
  <si>
    <t>P0540</t>
  </si>
  <si>
    <t>P0541</t>
  </si>
  <si>
    <t>2026-04-15</t>
  </si>
  <si>
    <t>P0542</t>
  </si>
  <si>
    <t>2025-08-06</t>
  </si>
  <si>
    <t>P0543</t>
  </si>
  <si>
    <t>P0544</t>
  </si>
  <si>
    <t>P0545</t>
  </si>
  <si>
    <t>2025-04-26</t>
  </si>
  <si>
    <t>P0546</t>
  </si>
  <si>
    <t>P0547</t>
  </si>
  <si>
    <t>2025-04-08</t>
  </si>
  <si>
    <t>P0548</t>
  </si>
  <si>
    <t>P0549</t>
  </si>
  <si>
    <t>P0550</t>
  </si>
  <si>
    <t>P0551</t>
  </si>
  <si>
    <t>P0552</t>
  </si>
  <si>
    <t>P0553</t>
  </si>
  <si>
    <t>P0554</t>
  </si>
  <si>
    <t>P0555</t>
  </si>
  <si>
    <t>P0556</t>
  </si>
  <si>
    <t>2025-10-10</t>
  </si>
  <si>
    <t>P0557</t>
  </si>
  <si>
    <t>P0558</t>
  </si>
  <si>
    <t>P0559</t>
  </si>
  <si>
    <t>P0560</t>
  </si>
  <si>
    <t>P0561</t>
  </si>
  <si>
    <t>P0562</t>
  </si>
  <si>
    <t>P0563</t>
  </si>
  <si>
    <t>P0564</t>
  </si>
  <si>
    <t>P0565</t>
  </si>
  <si>
    <t>P0566</t>
  </si>
  <si>
    <t>2025-08-19</t>
  </si>
  <si>
    <t>P0567</t>
  </si>
  <si>
    <t>P0568</t>
  </si>
  <si>
    <t>P0569</t>
  </si>
  <si>
    <t>P0570</t>
  </si>
  <si>
    <t>P0571</t>
  </si>
  <si>
    <t>P0572</t>
  </si>
  <si>
    <t>P0573</t>
  </si>
  <si>
    <t>P0574</t>
  </si>
  <si>
    <t>P0575</t>
  </si>
  <si>
    <t>P0576</t>
  </si>
  <si>
    <t>2026-03-30</t>
  </si>
  <si>
    <t>P0577</t>
  </si>
  <si>
    <t>P0578</t>
  </si>
  <si>
    <t>2026-05-27</t>
  </si>
  <si>
    <t>P0579</t>
  </si>
  <si>
    <t>P0580</t>
  </si>
  <si>
    <t>2026-03-16</t>
  </si>
  <si>
    <t>P0581</t>
  </si>
  <si>
    <t>2025-04-09</t>
  </si>
  <si>
    <t>P0582</t>
  </si>
  <si>
    <t>P0583</t>
  </si>
  <si>
    <t>P0584</t>
  </si>
  <si>
    <t>P0585</t>
  </si>
  <si>
    <t>2025-11-06</t>
  </si>
  <si>
    <t>P0586</t>
  </si>
  <si>
    <t>P0587</t>
  </si>
  <si>
    <t>2026-02-19</t>
  </si>
  <si>
    <t>P0588</t>
  </si>
  <si>
    <t>P0589</t>
  </si>
  <si>
    <t>P0590</t>
  </si>
  <si>
    <t>P0591</t>
  </si>
  <si>
    <t>P0592</t>
  </si>
  <si>
    <t>2025-07-31</t>
  </si>
  <si>
    <t>P0593</t>
  </si>
  <si>
    <t>2026-06-25</t>
  </si>
  <si>
    <t>P0594</t>
  </si>
  <si>
    <t>P0595</t>
  </si>
  <si>
    <t>2025-12-02</t>
  </si>
  <si>
    <t>P0596</t>
  </si>
  <si>
    <t>2026-02-22</t>
  </si>
  <si>
    <t>P0597</t>
  </si>
  <si>
    <t>P0598</t>
  </si>
  <si>
    <t>2025-01-27</t>
  </si>
  <si>
    <t>P0599</t>
  </si>
  <si>
    <t>2026-01-28</t>
  </si>
  <si>
    <t>P0600</t>
  </si>
  <si>
    <t>P0601</t>
  </si>
  <si>
    <t>P0602</t>
  </si>
  <si>
    <t>2026-06-13</t>
  </si>
  <si>
    <t>P0603</t>
  </si>
  <si>
    <t>P0604</t>
  </si>
  <si>
    <t>P0605</t>
  </si>
  <si>
    <t>P0606</t>
  </si>
  <si>
    <t>2025-03-01</t>
  </si>
  <si>
    <t>P0607</t>
  </si>
  <si>
    <t>P0608</t>
  </si>
  <si>
    <t>P0609</t>
  </si>
  <si>
    <t>P0610</t>
  </si>
  <si>
    <t>P0611</t>
  </si>
  <si>
    <t>P0612</t>
  </si>
  <si>
    <t>P0613</t>
  </si>
  <si>
    <t>P0614</t>
  </si>
  <si>
    <t>P0615</t>
  </si>
  <si>
    <t>P0616</t>
  </si>
  <si>
    <t>P0617</t>
  </si>
  <si>
    <t>P0618</t>
  </si>
  <si>
    <t>2026-03-15</t>
  </si>
  <si>
    <t>P0619</t>
  </si>
  <si>
    <t>P0620</t>
  </si>
  <si>
    <t>P0621</t>
  </si>
  <si>
    <t>2025-01-24</t>
  </si>
  <si>
    <t>P0622</t>
  </si>
  <si>
    <t>2025-03-07</t>
  </si>
  <si>
    <t>P0623</t>
  </si>
  <si>
    <t>P0624</t>
  </si>
  <si>
    <t>2025-02-18</t>
  </si>
  <si>
    <t>P0625</t>
  </si>
  <si>
    <t>P0626</t>
  </si>
  <si>
    <t>P0627</t>
  </si>
  <si>
    <t>2026-06-19</t>
  </si>
  <si>
    <t>P0628</t>
  </si>
  <si>
    <t>2026-03-06</t>
  </si>
  <si>
    <t>P0629</t>
  </si>
  <si>
    <t>P0630</t>
  </si>
  <si>
    <t>P0631</t>
  </si>
  <si>
    <t>P0632</t>
  </si>
  <si>
    <t>P0633</t>
  </si>
  <si>
    <t>2026-04-07</t>
  </si>
  <si>
    <t>P0634</t>
  </si>
  <si>
    <t>P0635</t>
  </si>
  <si>
    <t>P0636</t>
  </si>
  <si>
    <t>P0637</t>
  </si>
  <si>
    <t>2026-06-04</t>
  </si>
  <si>
    <t>P0638</t>
  </si>
  <si>
    <t>P0639</t>
  </si>
  <si>
    <t>P0640</t>
  </si>
  <si>
    <t>P0641</t>
  </si>
  <si>
    <t>P0642</t>
  </si>
  <si>
    <t>P0643</t>
  </si>
  <si>
    <t>P0644</t>
  </si>
  <si>
    <t>P0645</t>
  </si>
  <si>
    <t>2026-06-01</t>
  </si>
  <si>
    <t>P0646</t>
  </si>
  <si>
    <t>P0647</t>
  </si>
  <si>
    <t>P0648</t>
  </si>
  <si>
    <t>2025-12-23</t>
  </si>
  <si>
    <t>P0649</t>
  </si>
  <si>
    <t>2026-05-01</t>
  </si>
  <si>
    <t>P0650</t>
  </si>
  <si>
    <t>P0651</t>
  </si>
  <si>
    <t>P0652</t>
  </si>
  <si>
    <t>P0653</t>
  </si>
  <si>
    <t>P0654</t>
  </si>
  <si>
    <t>P0655</t>
  </si>
  <si>
    <t>P0656</t>
  </si>
  <si>
    <t>P0657</t>
  </si>
  <si>
    <t>P0658</t>
  </si>
  <si>
    <t>P0659</t>
  </si>
  <si>
    <t>2026-03-22</t>
  </si>
  <si>
    <t>P0660</t>
  </si>
  <si>
    <t>2025-04-21</t>
  </si>
  <si>
    <t>P0661</t>
  </si>
  <si>
    <t>P0662</t>
  </si>
  <si>
    <t>P0663</t>
  </si>
  <si>
    <t>P0664</t>
  </si>
  <si>
    <t>P0665</t>
  </si>
  <si>
    <t>P0666</t>
  </si>
  <si>
    <t>2025-09-14</t>
  </si>
  <si>
    <t>P0667</t>
  </si>
  <si>
    <t>2025-01-09</t>
  </si>
  <si>
    <t>P0668</t>
  </si>
  <si>
    <t>P0669</t>
  </si>
  <si>
    <t>P0670</t>
  </si>
  <si>
    <t>2025-07-26</t>
  </si>
  <si>
    <t>P0671</t>
  </si>
  <si>
    <t>P0672</t>
  </si>
  <si>
    <t>P0673</t>
  </si>
  <si>
    <t>P0674</t>
  </si>
  <si>
    <t>P0675</t>
  </si>
  <si>
    <t>2025-12-15</t>
  </si>
  <si>
    <t>P0676</t>
  </si>
  <si>
    <t>2026-03-25</t>
  </si>
  <si>
    <t>P0677</t>
  </si>
  <si>
    <t>2025-10-22</t>
  </si>
  <si>
    <t>P0678</t>
  </si>
  <si>
    <t>2026-04-25</t>
  </si>
  <si>
    <t>P0679</t>
  </si>
  <si>
    <t>2025-11-10</t>
  </si>
  <si>
    <t>P0680</t>
  </si>
  <si>
    <t>P0681</t>
  </si>
  <si>
    <t>P0682</t>
  </si>
  <si>
    <t>P0683</t>
  </si>
  <si>
    <t>P0684</t>
  </si>
  <si>
    <t>P0685</t>
  </si>
  <si>
    <t>P0686</t>
  </si>
  <si>
    <t>P0687</t>
  </si>
  <si>
    <t>2025-12-13</t>
  </si>
  <si>
    <t>P0688</t>
  </si>
  <si>
    <t>2025-07-12</t>
  </si>
  <si>
    <t>P0689</t>
  </si>
  <si>
    <t>2025-04-25</t>
  </si>
  <si>
    <t>P0690</t>
  </si>
  <si>
    <t>2026-05-31</t>
  </si>
  <si>
    <t>P0691</t>
  </si>
  <si>
    <t>P0692</t>
  </si>
  <si>
    <t>P0693</t>
  </si>
  <si>
    <t>P0694</t>
  </si>
  <si>
    <t>P0695</t>
  </si>
  <si>
    <t>2025-11-23</t>
  </si>
  <si>
    <t>P0696</t>
  </si>
  <si>
    <t>2025-07-18</t>
  </si>
  <si>
    <t>P0697</t>
  </si>
  <si>
    <t>2025-07-14</t>
  </si>
  <si>
    <t>P0698</t>
  </si>
  <si>
    <t>P0699</t>
  </si>
  <si>
    <t>2025-02-26</t>
  </si>
  <si>
    <t>P0700</t>
  </si>
  <si>
    <t>P0701</t>
  </si>
  <si>
    <t>P0702</t>
  </si>
  <si>
    <t>P0703</t>
  </si>
  <si>
    <t>P0704</t>
  </si>
  <si>
    <t>2026-01-16</t>
  </si>
  <si>
    <t>P0705</t>
  </si>
  <si>
    <t>P0706</t>
  </si>
  <si>
    <t>P0707</t>
  </si>
  <si>
    <t>P0708</t>
  </si>
  <si>
    <t>2025-08-14</t>
  </si>
  <si>
    <t>P0709</t>
  </si>
  <si>
    <t>P0710</t>
  </si>
  <si>
    <t>P0711</t>
  </si>
  <si>
    <t>P0712</t>
  </si>
  <si>
    <t>P0713</t>
  </si>
  <si>
    <t>2026-03-11</t>
  </si>
  <si>
    <t>P0714</t>
  </si>
  <si>
    <t>2025-01-17</t>
  </si>
  <si>
    <t>P0715</t>
  </si>
  <si>
    <t>P0716</t>
  </si>
  <si>
    <t>P0717</t>
  </si>
  <si>
    <t>P0718</t>
  </si>
  <si>
    <t>P0719</t>
  </si>
  <si>
    <t>P0720</t>
  </si>
  <si>
    <t>P0721</t>
  </si>
  <si>
    <t>P0722</t>
  </si>
  <si>
    <t>P0723</t>
  </si>
  <si>
    <t>P0724</t>
  </si>
  <si>
    <t>2026-03-03</t>
  </si>
  <si>
    <t>P0725</t>
  </si>
  <si>
    <t>P0726</t>
  </si>
  <si>
    <t>P0727</t>
  </si>
  <si>
    <t>P0728</t>
  </si>
  <si>
    <t>P0729</t>
  </si>
  <si>
    <t>P0730</t>
  </si>
  <si>
    <t>P0731</t>
  </si>
  <si>
    <t>P0732</t>
  </si>
  <si>
    <t>P0733</t>
  </si>
  <si>
    <t>P0734</t>
  </si>
  <si>
    <t>P0735</t>
  </si>
  <si>
    <t>P0736</t>
  </si>
  <si>
    <t>P0737</t>
  </si>
  <si>
    <t>P0738</t>
  </si>
  <si>
    <t>P0739</t>
  </si>
  <si>
    <t>P0740</t>
  </si>
  <si>
    <t>P0741</t>
  </si>
  <si>
    <t>2025-09-17</t>
  </si>
  <si>
    <t>P0742</t>
  </si>
  <si>
    <t>P0743</t>
  </si>
  <si>
    <t>P0744</t>
  </si>
  <si>
    <t>P0745</t>
  </si>
  <si>
    <t>P0746</t>
  </si>
  <si>
    <t>P0747</t>
  </si>
  <si>
    <t>2025-06-02</t>
  </si>
  <si>
    <t>P0748</t>
  </si>
  <si>
    <t>P0749</t>
  </si>
  <si>
    <t>2025-04-07</t>
  </si>
  <si>
    <t>P0750</t>
  </si>
  <si>
    <t>2026-03-10</t>
  </si>
  <si>
    <t>P0751</t>
  </si>
  <si>
    <t>2025-02-09</t>
  </si>
  <si>
    <t>P0752</t>
  </si>
  <si>
    <t>2026-03-14</t>
  </si>
  <si>
    <t>P0753</t>
  </si>
  <si>
    <t>P0754</t>
  </si>
  <si>
    <t>P0755</t>
  </si>
  <si>
    <t>P0756</t>
  </si>
  <si>
    <t>P0757</t>
  </si>
  <si>
    <t>2025-11-25</t>
  </si>
  <si>
    <t>P0758</t>
  </si>
  <si>
    <t>2025-11-07</t>
  </si>
  <si>
    <t>P0759</t>
  </si>
  <si>
    <t>P0760</t>
  </si>
  <si>
    <t>P0761</t>
  </si>
  <si>
    <t>P0762</t>
  </si>
  <si>
    <t>2025-10-09</t>
  </si>
  <si>
    <t>P0763</t>
  </si>
  <si>
    <t>P0764</t>
  </si>
  <si>
    <t>P0765</t>
  </si>
  <si>
    <t>P0766</t>
  </si>
  <si>
    <t>P0767</t>
  </si>
  <si>
    <t>P0768</t>
  </si>
  <si>
    <t>P0769</t>
  </si>
  <si>
    <t>P0770</t>
  </si>
  <si>
    <t>P0771</t>
  </si>
  <si>
    <t>P0772</t>
  </si>
  <si>
    <t>P0773</t>
  </si>
  <si>
    <t>2025-05-27</t>
  </si>
  <si>
    <t>P0774</t>
  </si>
  <si>
    <t>2025-11-13</t>
  </si>
  <si>
    <t>P0775</t>
  </si>
  <si>
    <t>P0776</t>
  </si>
  <si>
    <t>P0777</t>
  </si>
  <si>
    <t>2025-05-06</t>
  </si>
  <si>
    <t>P0778</t>
  </si>
  <si>
    <t>P0779</t>
  </si>
  <si>
    <t>P0780</t>
  </si>
  <si>
    <t>P0781</t>
  </si>
  <si>
    <t>2026-03-29</t>
  </si>
  <si>
    <t>P0782</t>
  </si>
  <si>
    <t>P0783</t>
  </si>
  <si>
    <t>P0784</t>
  </si>
  <si>
    <t>P0785</t>
  </si>
  <si>
    <t>P0786</t>
  </si>
  <si>
    <t>P0787</t>
  </si>
  <si>
    <t>P0788</t>
  </si>
  <si>
    <t>P0789</t>
  </si>
  <si>
    <t>P0790</t>
  </si>
  <si>
    <t>P0791</t>
  </si>
  <si>
    <t>P0792</t>
  </si>
  <si>
    <t>2026-04-27</t>
  </si>
  <si>
    <t>P0793</t>
  </si>
  <si>
    <t>P0794</t>
  </si>
  <si>
    <t>P0795</t>
  </si>
  <si>
    <t>P0796</t>
  </si>
  <si>
    <t>2025-06-13</t>
  </si>
  <si>
    <t>P0797</t>
  </si>
  <si>
    <t>2026-06-08</t>
  </si>
  <si>
    <t>P0798</t>
  </si>
  <si>
    <t>P0799</t>
  </si>
  <si>
    <t>P0800</t>
  </si>
  <si>
    <t>P0801</t>
  </si>
  <si>
    <t>P0802</t>
  </si>
  <si>
    <t>P0803</t>
  </si>
  <si>
    <t>P0804</t>
  </si>
  <si>
    <t>P0805</t>
  </si>
  <si>
    <t>P0806</t>
  </si>
  <si>
    <t>P0807</t>
  </si>
  <si>
    <t>P0808</t>
  </si>
  <si>
    <t>2025-03-10</t>
  </si>
  <si>
    <t>P0809</t>
  </si>
  <si>
    <t>P0810</t>
  </si>
  <si>
    <t>P0811</t>
  </si>
  <si>
    <t>P0812</t>
  </si>
  <si>
    <t>P0813</t>
  </si>
  <si>
    <t>P0814</t>
  </si>
  <si>
    <t>P0815</t>
  </si>
  <si>
    <t>P0816</t>
  </si>
  <si>
    <t>P0817</t>
  </si>
  <si>
    <t>P0818</t>
  </si>
  <si>
    <t>P0819</t>
  </si>
  <si>
    <t>P0820</t>
  </si>
  <si>
    <t>2025-05-28</t>
  </si>
  <si>
    <t>P0821</t>
  </si>
  <si>
    <t>P0822</t>
  </si>
  <si>
    <t>P0823</t>
  </si>
  <si>
    <t>P0824</t>
  </si>
  <si>
    <t>P0825</t>
  </si>
  <si>
    <t>2025-07-01</t>
  </si>
  <si>
    <t>P0826</t>
  </si>
  <si>
    <t>P0827</t>
  </si>
  <si>
    <t>P0828</t>
  </si>
  <si>
    <t>P0829</t>
  </si>
  <si>
    <t>P0830</t>
  </si>
  <si>
    <t>P0831</t>
  </si>
  <si>
    <t>P0832</t>
  </si>
  <si>
    <t>2026-06-06</t>
  </si>
  <si>
    <t>P0833</t>
  </si>
  <si>
    <t>P0834</t>
  </si>
  <si>
    <t>P0835</t>
  </si>
  <si>
    <t>P0836</t>
  </si>
  <si>
    <t>2025-06-27</t>
  </si>
  <si>
    <t>P0837</t>
  </si>
  <si>
    <t>P0838</t>
  </si>
  <si>
    <t>P0839</t>
  </si>
  <si>
    <t>P0840</t>
  </si>
  <si>
    <t>P0841</t>
  </si>
  <si>
    <t>P0842</t>
  </si>
  <si>
    <t>P0843</t>
  </si>
  <si>
    <t>2026-01-20</t>
  </si>
  <si>
    <t>P0844</t>
  </si>
  <si>
    <t>2025-04-14</t>
  </si>
  <si>
    <t>P0845</t>
  </si>
  <si>
    <t>P0846</t>
  </si>
  <si>
    <t>2025-08-25</t>
  </si>
  <si>
    <t>P0847</t>
  </si>
  <si>
    <t>P0848</t>
  </si>
  <si>
    <t>P0849</t>
  </si>
  <si>
    <t>P0850</t>
  </si>
  <si>
    <t>P0851</t>
  </si>
  <si>
    <t>P0852</t>
  </si>
  <si>
    <t>P0853</t>
  </si>
  <si>
    <t>P0854</t>
  </si>
  <si>
    <t>P0855</t>
  </si>
  <si>
    <t>2026-06-17</t>
  </si>
  <si>
    <t>P0856</t>
  </si>
  <si>
    <t>P0857</t>
  </si>
  <si>
    <t>P0858</t>
  </si>
  <si>
    <t>P0859</t>
  </si>
  <si>
    <t>P0860</t>
  </si>
  <si>
    <t>2025-03-16</t>
  </si>
  <si>
    <t>P0861</t>
  </si>
  <si>
    <t>P0862</t>
  </si>
  <si>
    <t>P0863</t>
  </si>
  <si>
    <t>P0864</t>
  </si>
  <si>
    <t>P0865</t>
  </si>
  <si>
    <t>2025-11-12</t>
  </si>
  <si>
    <t>P0866</t>
  </si>
  <si>
    <t>P0867</t>
  </si>
  <si>
    <t>2025-03-08</t>
  </si>
  <si>
    <t>P0868</t>
  </si>
  <si>
    <t>P0869</t>
  </si>
  <si>
    <t>P0870</t>
  </si>
  <si>
    <t>P0871</t>
  </si>
  <si>
    <t>P0872</t>
  </si>
  <si>
    <t>P0873</t>
  </si>
  <si>
    <t>P0874</t>
  </si>
  <si>
    <t>P0875</t>
  </si>
  <si>
    <t>P0876</t>
  </si>
  <si>
    <t>2026-05-03</t>
  </si>
  <si>
    <t>P0877</t>
  </si>
  <si>
    <t>P0878</t>
  </si>
  <si>
    <t>P0879</t>
  </si>
  <si>
    <t>2025-02-06</t>
  </si>
  <si>
    <t>P0880</t>
  </si>
  <si>
    <t>P0881</t>
  </si>
  <si>
    <t>2025-01-20</t>
  </si>
  <si>
    <t>P0882</t>
  </si>
  <si>
    <t>P0883</t>
  </si>
  <si>
    <t>P0884</t>
  </si>
  <si>
    <t>2025-10-26</t>
  </si>
  <si>
    <t>P0885</t>
  </si>
  <si>
    <t>P0886</t>
  </si>
  <si>
    <t>P0887</t>
  </si>
  <si>
    <t>P0888</t>
  </si>
  <si>
    <t>P0889</t>
  </si>
  <si>
    <t>P0890</t>
  </si>
  <si>
    <t>P0891</t>
  </si>
  <si>
    <t>P0892</t>
  </si>
  <si>
    <t>P0893</t>
  </si>
  <si>
    <t>P0894</t>
  </si>
  <si>
    <t>2025-02-19</t>
  </si>
  <si>
    <t>P0895</t>
  </si>
  <si>
    <t>P0896</t>
  </si>
  <si>
    <t>P0897</t>
  </si>
  <si>
    <t>P0898</t>
  </si>
  <si>
    <t>P0899</t>
  </si>
  <si>
    <t>2025-11-29</t>
  </si>
  <si>
    <t>P0900</t>
  </si>
  <si>
    <t>P0901</t>
  </si>
  <si>
    <t>P0902</t>
  </si>
  <si>
    <t>P0903</t>
  </si>
  <si>
    <t>P0904</t>
  </si>
  <si>
    <t>P0905</t>
  </si>
  <si>
    <t>P0906</t>
  </si>
  <si>
    <t>P0907</t>
  </si>
  <si>
    <t>P0908</t>
  </si>
  <si>
    <t>P0909</t>
  </si>
  <si>
    <t>P0910</t>
  </si>
  <si>
    <t>P0911</t>
  </si>
  <si>
    <t>P0912</t>
  </si>
  <si>
    <t>P0913</t>
  </si>
  <si>
    <t>2026-02-15</t>
  </si>
  <si>
    <t>P0914</t>
  </si>
  <si>
    <t>P0915</t>
  </si>
  <si>
    <t>2025-08-29</t>
  </si>
  <si>
    <t>P0916</t>
  </si>
  <si>
    <t>P0917</t>
  </si>
  <si>
    <t>P0918</t>
  </si>
  <si>
    <t>P0919</t>
  </si>
  <si>
    <t>P0920</t>
  </si>
  <si>
    <t>P0921</t>
  </si>
  <si>
    <t>2026-05-24</t>
  </si>
  <si>
    <t>P0922</t>
  </si>
  <si>
    <t>P0923</t>
  </si>
  <si>
    <t>P0924</t>
  </si>
  <si>
    <t>P0925</t>
  </si>
  <si>
    <t>2025-09-24</t>
  </si>
  <si>
    <t>P0926</t>
  </si>
  <si>
    <t>2025-05-18</t>
  </si>
  <si>
    <t>P0927</t>
  </si>
  <si>
    <t>P0928</t>
  </si>
  <si>
    <t>P0929</t>
  </si>
  <si>
    <t>P0930</t>
  </si>
  <si>
    <t>2025-12-16</t>
  </si>
  <si>
    <t>P0931</t>
  </si>
  <si>
    <t>P0932</t>
  </si>
  <si>
    <t>P0933</t>
  </si>
  <si>
    <t>P0934</t>
  </si>
  <si>
    <t>P0935</t>
  </si>
  <si>
    <t>P0936</t>
  </si>
  <si>
    <t>P0937</t>
  </si>
  <si>
    <t>P0938</t>
  </si>
  <si>
    <t>P0939</t>
  </si>
  <si>
    <t>P0940</t>
  </si>
  <si>
    <t>2025-12-14</t>
  </si>
  <si>
    <t>P0941</t>
  </si>
  <si>
    <t>2025-04-28</t>
  </si>
  <si>
    <t>P0942</t>
  </si>
  <si>
    <t>P0943</t>
  </si>
  <si>
    <t>P0944</t>
  </si>
  <si>
    <t>P0945</t>
  </si>
  <si>
    <t>P0946</t>
  </si>
  <si>
    <t>P0947</t>
  </si>
  <si>
    <t>2025-12-18</t>
  </si>
  <si>
    <t>P0948</t>
  </si>
  <si>
    <t>P0949</t>
  </si>
  <si>
    <t>P0950</t>
  </si>
  <si>
    <t>P0951</t>
  </si>
  <si>
    <t>2025-09-16</t>
  </si>
  <si>
    <t>P0952</t>
  </si>
  <si>
    <t>P0953</t>
  </si>
  <si>
    <t>P0954</t>
  </si>
  <si>
    <t>P0955</t>
  </si>
  <si>
    <t>P0956</t>
  </si>
  <si>
    <t>P0957</t>
  </si>
  <si>
    <t>2025-07-15</t>
  </si>
  <si>
    <t>P0958</t>
  </si>
  <si>
    <t>P0959</t>
  </si>
  <si>
    <t>2026-01-25</t>
  </si>
  <si>
    <t>P0960</t>
  </si>
  <si>
    <t>P0961</t>
  </si>
  <si>
    <t>P0962</t>
  </si>
  <si>
    <t>P0963</t>
  </si>
  <si>
    <t>P0964</t>
  </si>
  <si>
    <t>P0965</t>
  </si>
  <si>
    <t>P0966</t>
  </si>
  <si>
    <t>P0967</t>
  </si>
  <si>
    <t>P0968</t>
  </si>
  <si>
    <t>2025-03-12</t>
  </si>
  <si>
    <t>P0969</t>
  </si>
  <si>
    <t>P0970</t>
  </si>
  <si>
    <t>P0971</t>
  </si>
  <si>
    <t>2026-03-07</t>
  </si>
  <si>
    <t>P0972</t>
  </si>
  <si>
    <t>P0973</t>
  </si>
  <si>
    <t>P0974</t>
  </si>
  <si>
    <t>2025-02-13</t>
  </si>
  <si>
    <t>P0975</t>
  </si>
  <si>
    <t>P0976</t>
  </si>
  <si>
    <t>P0977</t>
  </si>
  <si>
    <t>P0978</t>
  </si>
  <si>
    <t>2026-04-17</t>
  </si>
  <si>
    <t>P0979</t>
  </si>
  <si>
    <t>P0980</t>
  </si>
  <si>
    <t>2025-12-30</t>
  </si>
  <si>
    <t>P0981</t>
  </si>
  <si>
    <t>P0982</t>
  </si>
  <si>
    <t>P0983</t>
  </si>
  <si>
    <t>P0984</t>
  </si>
  <si>
    <t>P0985</t>
  </si>
  <si>
    <t>P0986</t>
  </si>
  <si>
    <t>P0987</t>
  </si>
  <si>
    <t>P0988</t>
  </si>
  <si>
    <t>P0989</t>
  </si>
  <si>
    <t>P0990</t>
  </si>
  <si>
    <t>P0991</t>
  </si>
  <si>
    <t>P0992</t>
  </si>
  <si>
    <t>2026-02-13</t>
  </si>
  <si>
    <t>P0993</t>
  </si>
  <si>
    <t>P0994</t>
  </si>
  <si>
    <t>P0995</t>
  </si>
  <si>
    <t>P0996</t>
  </si>
  <si>
    <t>P0997</t>
  </si>
  <si>
    <t>P0998</t>
  </si>
  <si>
    <t>2026-01-09</t>
  </si>
  <si>
    <t>P0999</t>
  </si>
  <si>
    <t>2026-05-14</t>
  </si>
  <si>
    <t>P1000</t>
  </si>
  <si>
    <t>Row Labels</t>
  </si>
  <si>
    <t>Grand Total</t>
  </si>
  <si>
    <t>Count of Patient_ID</t>
  </si>
  <si>
    <t>Sum of Treatment_Cost</t>
  </si>
  <si>
    <t>Average of Treatment_Cost</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</si>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</sst>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0" fontId="0" fillId="0" borderId="0" xfId="0" applyNumberFormat="1"/>
    <xf numFmtId="9" fontId="0" fillId="0" borderId="0" xfId="1" applyFont="1"/>
    <xf numFmtId="1" fontId="0" fillId="0" borderId="0" xfId="0" applyNumberFormat="1"/>
    <xf numFmtId="0" fontId="0" fillId="0" borderId="0" xfId="0" applyNumberFormat="1"/>
  </cellXfs>
  <cellStyles count="2">
    <cellStyle name="Normal" xfId="0" builtinId="0"/>
    <cellStyle name="Percent" xfId="1" builtinId="5"/>
  </cellStyles>
  <dxfs count="24">
    <dxf>
      <numFmt numFmtId="1" formatCode="0"/>
    </dxf>
    <dxf>
      <numFmt numFmtId="1" formatCode="0"/>
    </dxf>
    <dxf>
      <numFmt numFmtId="164" formatCode="_ * #,##0_ ;_ * \-#,##0_ ;_ * &quot;-&quot;??_ ;_ @_ "/>
    </dxf>
    <dxf>
      <numFmt numFmtId="164" formatCode="_ * #,##0_ ;_ * \-#,##0_ ;_ * &quot;-&quot;??_ ;_ @_ "/>
    </dxf>
    <dxf>
      <numFmt numFmtId="164" formatCode="_ * #,##0_ ;_ * \-#,##0_ ;_ * &quot;-&quot;??_ ;_ @_ "/>
    </dxf>
    <dxf>
      <numFmt numFmtId="14" formatCode="0.00%"/>
    </dxf>
    <dxf>
      <numFmt numFmtId="1" formatCode="0"/>
    </dxf>
    <dxf>
      <numFmt numFmtId="1" formatCode="0"/>
    </dxf>
    <dxf>
      <numFmt numFmtId="164" formatCode="_ * #,##0_ ;_ * \-#,##0_ ;_ * &quot;-&quot;??_ ;_ @_ "/>
    </dxf>
    <dxf>
      <numFmt numFmtId="164" formatCode="_ * #,##0_ ;_ * \-#,##0_ ;_ * &quot;-&quot;??_ ;_ @_ "/>
    </dxf>
    <dxf>
      <numFmt numFmtId="164" formatCode="_ * #,##0_ ;_ * \-#,##0_ ;_ * &quot;-&quot;??_ ;_ @_ "/>
    </dxf>
    <dxf>
      <numFmt numFmtId="14" formatCode="0.00%"/>
    </dxf>
    <dxf>
      <numFmt numFmtId="1" formatCode="0"/>
    </dxf>
    <dxf>
      <numFmt numFmtId="1" formatCode="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 formatCode="0"/>
    </dxf>
    <dxf>
      <numFmt numFmtId="1" formatCode="0"/>
    </dxf>
    <dxf>
      <numFmt numFmtId="14" formatCode="0.00%"/>
    </dxf>
    <dxf>
      <numFmt numFmtId="164" formatCode="_ * #,##0_ ;_ * \-#,##0_ ;_ * &quot;-&quot;??_ ;_ @_ "/>
    </dxf>
  </dxfs>
  <tableStyles count="0" defaultTableStyle="TableStyleMedium9" defaultPivotStyle="PivotStyleLight16"/>
  <colors>
    <mruColors>
      <color rgb="FF00CC99"/>
      <color rgb="FF003399"/>
      <color rgb="FF3366CC"/>
      <color rgb="FF00CC00"/>
      <color rgb="FF00CC66"/>
      <color rgb="FF000099"/>
      <color rgb="FF000066"/>
      <color rgb="FF33CC33"/>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D9-4334-8C6E-164C31BEE9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D9-4334-8C6E-164C31BEE9BF}"/>
              </c:ext>
            </c:extLst>
          </c:dPt>
          <c:cat>
            <c:strRef>
              <c:f>Sheet1!$A$4:$A$6</c:f>
              <c:strCache>
                <c:ptCount val="2"/>
                <c:pt idx="0">
                  <c:v>Female</c:v>
                </c:pt>
                <c:pt idx="1">
                  <c:v>Male</c:v>
                </c:pt>
              </c:strCache>
            </c:strRef>
          </c:cat>
          <c:val>
            <c:numRef>
              <c:f>Sheet1!$B$4:$B$6</c:f>
              <c:numCache>
                <c:formatCode>General</c:formatCode>
                <c:ptCount val="2"/>
                <c:pt idx="0">
                  <c:v>509</c:v>
                </c:pt>
                <c:pt idx="1">
                  <c:v>491</c:v>
                </c:pt>
              </c:numCache>
            </c:numRef>
          </c:val>
          <c:extLst>
            <c:ext xmlns:c16="http://schemas.microsoft.com/office/drawing/2014/chart" uri="{C3380CC4-5D6E-409C-BE32-E72D297353CC}">
              <c16:uniqueId val="{00000000-18D0-41CA-A126-0A055154A5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c:f>
              <c:strCache>
                <c:ptCount val="1"/>
                <c:pt idx="0">
                  <c:v>Total</c:v>
                </c:pt>
              </c:strCache>
            </c:strRef>
          </c:tx>
          <c:spPr>
            <a:solidFill>
              <a:schemeClr val="accent1"/>
            </a:solidFill>
            <a:ln>
              <a:noFill/>
            </a:ln>
            <a:effectLst/>
          </c:spPr>
          <c:invertIfNegative val="0"/>
          <c:cat>
            <c:strRef>
              <c:f>Sheet1!$A$10:$A$16</c:f>
              <c:strCache>
                <c:ptCount val="6"/>
                <c:pt idx="0">
                  <c:v>Cardiology</c:v>
                </c:pt>
                <c:pt idx="1">
                  <c:v>ENT</c:v>
                </c:pt>
                <c:pt idx="2">
                  <c:v>General Medicine</c:v>
                </c:pt>
                <c:pt idx="3">
                  <c:v>Neurology</c:v>
                </c:pt>
                <c:pt idx="4">
                  <c:v>Orthopedics</c:v>
                </c:pt>
                <c:pt idx="5">
                  <c:v>Pediatrics</c:v>
                </c:pt>
              </c:strCache>
            </c:strRef>
          </c:cat>
          <c:val>
            <c:numRef>
              <c:f>Sheet1!$B$10:$B$16</c:f>
              <c:numCache>
                <c:formatCode>General</c:formatCode>
                <c:ptCount val="6"/>
                <c:pt idx="0">
                  <c:v>165</c:v>
                </c:pt>
                <c:pt idx="1">
                  <c:v>162</c:v>
                </c:pt>
                <c:pt idx="2">
                  <c:v>155</c:v>
                </c:pt>
                <c:pt idx="3">
                  <c:v>188</c:v>
                </c:pt>
                <c:pt idx="4">
                  <c:v>157</c:v>
                </c:pt>
                <c:pt idx="5">
                  <c:v>173</c:v>
                </c:pt>
              </c:numCache>
            </c:numRef>
          </c:val>
          <c:extLst>
            <c:ext xmlns:c16="http://schemas.microsoft.com/office/drawing/2014/chart" uri="{C3380CC4-5D6E-409C-BE32-E72D297353CC}">
              <c16:uniqueId val="{00000000-DE1C-48AE-9BBD-B6ACBE6E6332}"/>
            </c:ext>
          </c:extLst>
        </c:ser>
        <c:dLbls>
          <c:showLegendKey val="0"/>
          <c:showVal val="0"/>
          <c:showCatName val="0"/>
          <c:showSerName val="0"/>
          <c:showPercent val="0"/>
          <c:showBubbleSize val="0"/>
        </c:dLbls>
        <c:gapWidth val="219"/>
        <c:overlap val="-27"/>
        <c:axId val="927050463"/>
        <c:axId val="927038463"/>
      </c:barChart>
      <c:catAx>
        <c:axId val="92705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38463"/>
        <c:crosses val="autoZero"/>
        <c:auto val="1"/>
        <c:lblAlgn val="ctr"/>
        <c:lblOffset val="100"/>
        <c:noMultiLvlLbl val="0"/>
      </c:catAx>
      <c:valAx>
        <c:axId val="92703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5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Sheet1!$A$20:$A$26</c:f>
              <c:strCache>
                <c:ptCount val="6"/>
                <c:pt idx="0">
                  <c:v>Asthma</c:v>
                </c:pt>
                <c:pt idx="1">
                  <c:v>Diabetes</c:v>
                </c:pt>
                <c:pt idx="2">
                  <c:v>Fever</c:v>
                </c:pt>
                <c:pt idx="3">
                  <c:v>Fracture</c:v>
                </c:pt>
                <c:pt idx="4">
                  <c:v>Hypertension</c:v>
                </c:pt>
                <c:pt idx="5">
                  <c:v>Migraine</c:v>
                </c:pt>
              </c:strCache>
            </c:strRef>
          </c:cat>
          <c:val>
            <c:numRef>
              <c:f>Sheet1!$B$20:$B$26</c:f>
              <c:numCache>
                <c:formatCode>General</c:formatCode>
                <c:ptCount val="6"/>
                <c:pt idx="0">
                  <c:v>167</c:v>
                </c:pt>
                <c:pt idx="1">
                  <c:v>144</c:v>
                </c:pt>
                <c:pt idx="2">
                  <c:v>186</c:v>
                </c:pt>
                <c:pt idx="3">
                  <c:v>165</c:v>
                </c:pt>
                <c:pt idx="4">
                  <c:v>179</c:v>
                </c:pt>
                <c:pt idx="5">
                  <c:v>159</c:v>
                </c:pt>
              </c:numCache>
            </c:numRef>
          </c:val>
          <c:extLst>
            <c:ext xmlns:c16="http://schemas.microsoft.com/office/drawing/2014/chart" uri="{C3380CC4-5D6E-409C-BE32-E72D297353CC}">
              <c16:uniqueId val="{00000000-6D4E-4C81-8D17-5D3D325BB340}"/>
            </c:ext>
          </c:extLst>
        </c:ser>
        <c:dLbls>
          <c:showLegendKey val="0"/>
          <c:showVal val="0"/>
          <c:showCatName val="0"/>
          <c:showSerName val="0"/>
          <c:showPercent val="0"/>
          <c:showBubbleSize val="0"/>
        </c:dLbls>
        <c:gapWidth val="219"/>
        <c:overlap val="-27"/>
        <c:axId val="1304033855"/>
        <c:axId val="1304035295"/>
      </c:barChart>
      <c:catAx>
        <c:axId val="13040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035295"/>
        <c:crosses val="autoZero"/>
        <c:auto val="1"/>
        <c:lblAlgn val="ctr"/>
        <c:lblOffset val="100"/>
        <c:noMultiLvlLbl val="0"/>
      </c:catAx>
      <c:valAx>
        <c:axId val="130403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03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Sheet1!$B$29</c:f>
              <c:strCache>
                <c:ptCount val="1"/>
                <c:pt idx="0">
                  <c:v>Total</c:v>
                </c:pt>
              </c:strCache>
            </c:strRef>
          </c:tx>
          <c:spPr>
            <a:solidFill>
              <a:schemeClr val="accent1"/>
            </a:solidFill>
            <a:ln>
              <a:noFill/>
            </a:ln>
            <a:effectLst/>
          </c:spPr>
          <c:invertIfNegative val="0"/>
          <c:cat>
            <c:strRef>
              <c:f>Sheet1!$A$30:$A$36</c:f>
              <c:strCache>
                <c:ptCount val="6"/>
                <c:pt idx="0">
                  <c:v>Cardiology</c:v>
                </c:pt>
                <c:pt idx="1">
                  <c:v>ENT</c:v>
                </c:pt>
                <c:pt idx="2">
                  <c:v>General Medicine</c:v>
                </c:pt>
                <c:pt idx="3">
                  <c:v>Neurology</c:v>
                </c:pt>
                <c:pt idx="4">
                  <c:v>Orthopedics</c:v>
                </c:pt>
                <c:pt idx="5">
                  <c:v>Pediatrics</c:v>
                </c:pt>
              </c:strCache>
            </c:strRef>
          </c:cat>
          <c:val>
            <c:numRef>
              <c:f>Sheet1!$B$30:$B$36</c:f>
              <c:numCache>
                <c:formatCode>_ * #,##0_ ;_ * \-#,##0_ ;_ * "-"??_ ;_ @_ </c:formatCode>
                <c:ptCount val="6"/>
                <c:pt idx="0">
                  <c:v>75949.725454545493</c:v>
                </c:pt>
                <c:pt idx="1">
                  <c:v>77086.143395061692</c:v>
                </c:pt>
                <c:pt idx="2">
                  <c:v>75196.481032258074</c:v>
                </c:pt>
                <c:pt idx="3">
                  <c:v>74729.235106382941</c:v>
                </c:pt>
                <c:pt idx="4">
                  <c:v>71505.213184713386</c:v>
                </c:pt>
                <c:pt idx="5">
                  <c:v>82316.894682080892</c:v>
                </c:pt>
              </c:numCache>
            </c:numRef>
          </c:val>
          <c:extLst>
            <c:ext xmlns:c16="http://schemas.microsoft.com/office/drawing/2014/chart" uri="{C3380CC4-5D6E-409C-BE32-E72D297353CC}">
              <c16:uniqueId val="{00000000-0A11-45BD-97F4-6C010AAA52F7}"/>
            </c:ext>
          </c:extLst>
        </c:ser>
        <c:dLbls>
          <c:showLegendKey val="0"/>
          <c:showVal val="0"/>
          <c:showCatName val="0"/>
          <c:showSerName val="0"/>
          <c:showPercent val="0"/>
          <c:showBubbleSize val="0"/>
        </c:dLbls>
        <c:gapWidth val="182"/>
        <c:axId val="1302637999"/>
        <c:axId val="1302638479"/>
      </c:barChart>
      <c:catAx>
        <c:axId val="130263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638479"/>
        <c:crosses val="autoZero"/>
        <c:auto val="1"/>
        <c:lblAlgn val="ctr"/>
        <c:lblOffset val="100"/>
        <c:noMultiLvlLbl val="0"/>
      </c:catAx>
      <c:valAx>
        <c:axId val="1302638479"/>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63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F2-45E1-B4ED-BD4A9D392C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F2-45E1-B4ED-BD4A9D392C9A}"/>
              </c:ext>
            </c:extLst>
          </c:dPt>
          <c:cat>
            <c:strRef>
              <c:f>Sheet1!$A$40:$A$42</c:f>
              <c:strCache>
                <c:ptCount val="2"/>
                <c:pt idx="0">
                  <c:v>No</c:v>
                </c:pt>
                <c:pt idx="1">
                  <c:v>Yes</c:v>
                </c:pt>
              </c:strCache>
            </c:strRef>
          </c:cat>
          <c:val>
            <c:numRef>
              <c:f>Sheet1!$B$40:$B$42</c:f>
              <c:numCache>
                <c:formatCode>General</c:formatCode>
                <c:ptCount val="2"/>
                <c:pt idx="0">
                  <c:v>534</c:v>
                </c:pt>
                <c:pt idx="1">
                  <c:v>466</c:v>
                </c:pt>
              </c:numCache>
            </c:numRef>
          </c:val>
          <c:extLst>
            <c:ext xmlns:c16="http://schemas.microsoft.com/office/drawing/2014/chart" uri="{C3380CC4-5D6E-409C-BE32-E72D297353CC}">
              <c16:uniqueId val="{00000000-B8AB-4BE5-ADAA-185B199320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Sheet1!$B$45</c:f>
              <c:strCache>
                <c:ptCount val="1"/>
                <c:pt idx="0">
                  <c:v>Total</c:v>
                </c:pt>
              </c:strCache>
            </c:strRef>
          </c:tx>
          <c:spPr>
            <a:ln w="28575" cap="rnd">
              <a:solidFill>
                <a:schemeClr val="accent1"/>
              </a:solidFill>
              <a:round/>
            </a:ln>
            <a:effectLst/>
          </c:spPr>
          <c:marker>
            <c:symbol val="none"/>
          </c:marker>
          <c:cat>
            <c:strRef>
              <c:f>Sheet1!$A$46:$A$52</c:f>
              <c:strCache>
                <c:ptCount val="6"/>
                <c:pt idx="0">
                  <c:v>Alappuzha</c:v>
                </c:pt>
                <c:pt idx="1">
                  <c:v>Kochi</c:v>
                </c:pt>
                <c:pt idx="2">
                  <c:v>Kollam</c:v>
                </c:pt>
                <c:pt idx="3">
                  <c:v>Kozhikode</c:v>
                </c:pt>
                <c:pt idx="4">
                  <c:v>Thrissur</c:v>
                </c:pt>
                <c:pt idx="5">
                  <c:v>Trivandrum</c:v>
                </c:pt>
              </c:strCache>
            </c:strRef>
          </c:cat>
          <c:val>
            <c:numRef>
              <c:f>Sheet1!$B$46:$B$52</c:f>
              <c:numCache>
                <c:formatCode>General</c:formatCode>
                <c:ptCount val="6"/>
                <c:pt idx="0">
                  <c:v>178</c:v>
                </c:pt>
                <c:pt idx="1">
                  <c:v>162</c:v>
                </c:pt>
                <c:pt idx="2">
                  <c:v>192</c:v>
                </c:pt>
                <c:pt idx="3">
                  <c:v>156</c:v>
                </c:pt>
                <c:pt idx="4">
                  <c:v>144</c:v>
                </c:pt>
                <c:pt idx="5">
                  <c:v>168</c:v>
                </c:pt>
              </c:numCache>
            </c:numRef>
          </c:val>
          <c:smooth val="0"/>
          <c:extLst>
            <c:ext xmlns:c16="http://schemas.microsoft.com/office/drawing/2014/chart" uri="{C3380CC4-5D6E-409C-BE32-E72D297353CC}">
              <c16:uniqueId val="{00000000-4E01-40BB-9469-2D3E2CEEFF2D}"/>
            </c:ext>
          </c:extLst>
        </c:ser>
        <c:dLbls>
          <c:showLegendKey val="0"/>
          <c:showVal val="0"/>
          <c:showCatName val="0"/>
          <c:showSerName val="0"/>
          <c:showPercent val="0"/>
          <c:showBubbleSize val="0"/>
        </c:dLbls>
        <c:smooth val="0"/>
        <c:axId val="1305978959"/>
        <c:axId val="930227647"/>
      </c:lineChart>
      <c:catAx>
        <c:axId val="130597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227647"/>
        <c:crosses val="autoZero"/>
        <c:auto val="1"/>
        <c:lblAlgn val="ctr"/>
        <c:lblOffset val="100"/>
        <c:noMultiLvlLbl val="0"/>
      </c:catAx>
      <c:valAx>
        <c:axId val="93022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7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Sheet1!$C$123:$C$212</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Sheet1!$D$123:$D$212</c:f>
              <c:numCache>
                <c:formatCode>General</c:formatCode>
                <c:ptCount val="90"/>
                <c:pt idx="0">
                  <c:v>586018.77999999991</c:v>
                </c:pt>
                <c:pt idx="1">
                  <c:v>643531.80000000005</c:v>
                </c:pt>
                <c:pt idx="2">
                  <c:v>1091491.0899999999</c:v>
                </c:pt>
                <c:pt idx="3">
                  <c:v>1108562.31</c:v>
                </c:pt>
                <c:pt idx="4">
                  <c:v>716956.77999999991</c:v>
                </c:pt>
                <c:pt idx="5">
                  <c:v>671099.86</c:v>
                </c:pt>
                <c:pt idx="6">
                  <c:v>572622.49</c:v>
                </c:pt>
                <c:pt idx="7">
                  <c:v>638107.69000000006</c:v>
                </c:pt>
                <c:pt idx="8">
                  <c:v>730446.57000000007</c:v>
                </c:pt>
                <c:pt idx="9">
                  <c:v>795336.3899999999</c:v>
                </c:pt>
                <c:pt idx="10">
                  <c:v>1032079.8399999999</c:v>
                </c:pt>
                <c:pt idx="11">
                  <c:v>662203.64</c:v>
                </c:pt>
                <c:pt idx="12">
                  <c:v>659921.24</c:v>
                </c:pt>
                <c:pt idx="13">
                  <c:v>787278.39000000013</c:v>
                </c:pt>
                <c:pt idx="14">
                  <c:v>594678.82000000007</c:v>
                </c:pt>
                <c:pt idx="15">
                  <c:v>1296231.51</c:v>
                </c:pt>
                <c:pt idx="16">
                  <c:v>1368654.17</c:v>
                </c:pt>
                <c:pt idx="17">
                  <c:v>1133001.8500000001</c:v>
                </c:pt>
                <c:pt idx="18">
                  <c:v>834588.6</c:v>
                </c:pt>
                <c:pt idx="19">
                  <c:v>533734.71</c:v>
                </c:pt>
                <c:pt idx="20">
                  <c:v>514356.22000000003</c:v>
                </c:pt>
                <c:pt idx="21">
                  <c:v>651364.68999999994</c:v>
                </c:pt>
                <c:pt idx="22">
                  <c:v>1134922.8899999997</c:v>
                </c:pt>
                <c:pt idx="23">
                  <c:v>722007.66999999993</c:v>
                </c:pt>
                <c:pt idx="24">
                  <c:v>1041352.7799999998</c:v>
                </c:pt>
                <c:pt idx="25">
                  <c:v>1268627.8700000001</c:v>
                </c:pt>
                <c:pt idx="26">
                  <c:v>467034.27999999997</c:v>
                </c:pt>
                <c:pt idx="27">
                  <c:v>603185.86</c:v>
                </c:pt>
                <c:pt idx="28">
                  <c:v>1289081.72</c:v>
                </c:pt>
                <c:pt idx="29">
                  <c:v>789253.54000000015</c:v>
                </c:pt>
                <c:pt idx="30">
                  <c:v>473468.44000000006</c:v>
                </c:pt>
                <c:pt idx="31">
                  <c:v>838654.58</c:v>
                </c:pt>
                <c:pt idx="32">
                  <c:v>745717.26</c:v>
                </c:pt>
                <c:pt idx="33">
                  <c:v>662403.70000000007</c:v>
                </c:pt>
                <c:pt idx="34">
                  <c:v>847715.8</c:v>
                </c:pt>
                <c:pt idx="35">
                  <c:v>604365.29999999993</c:v>
                </c:pt>
                <c:pt idx="36">
                  <c:v>1212085.3500000001</c:v>
                </c:pt>
                <c:pt idx="37">
                  <c:v>1359214.07</c:v>
                </c:pt>
                <c:pt idx="38">
                  <c:v>584776.14</c:v>
                </c:pt>
                <c:pt idx="39">
                  <c:v>1468231.0699999998</c:v>
                </c:pt>
                <c:pt idx="40">
                  <c:v>588651.11</c:v>
                </c:pt>
                <c:pt idx="41">
                  <c:v>690810.71</c:v>
                </c:pt>
                <c:pt idx="42">
                  <c:v>818531.56</c:v>
                </c:pt>
                <c:pt idx="43">
                  <c:v>1044485.9000000001</c:v>
                </c:pt>
                <c:pt idx="44">
                  <c:v>764571.37</c:v>
                </c:pt>
                <c:pt idx="45">
                  <c:v>1039138.1799999999</c:v>
                </c:pt>
                <c:pt idx="46">
                  <c:v>1250215.47</c:v>
                </c:pt>
                <c:pt idx="47">
                  <c:v>715116.44000000006</c:v>
                </c:pt>
                <c:pt idx="48">
                  <c:v>545218.89</c:v>
                </c:pt>
                <c:pt idx="49">
                  <c:v>1499265</c:v>
                </c:pt>
                <c:pt idx="50">
                  <c:v>1178112.79</c:v>
                </c:pt>
                <c:pt idx="51">
                  <c:v>585370.25</c:v>
                </c:pt>
                <c:pt idx="52">
                  <c:v>425753.89999999997</c:v>
                </c:pt>
                <c:pt idx="53">
                  <c:v>715891.72</c:v>
                </c:pt>
                <c:pt idx="54">
                  <c:v>511461.84999999992</c:v>
                </c:pt>
                <c:pt idx="55">
                  <c:v>874963.05</c:v>
                </c:pt>
                <c:pt idx="56">
                  <c:v>1173184.9300000002</c:v>
                </c:pt>
                <c:pt idx="57">
                  <c:v>780563.03999999992</c:v>
                </c:pt>
                <c:pt idx="58">
                  <c:v>908027.75000000012</c:v>
                </c:pt>
                <c:pt idx="59">
                  <c:v>1104479.3700000001</c:v>
                </c:pt>
                <c:pt idx="60">
                  <c:v>563412.68000000005</c:v>
                </c:pt>
                <c:pt idx="61">
                  <c:v>1184788.3199999998</c:v>
                </c:pt>
                <c:pt idx="62">
                  <c:v>710106.38000000012</c:v>
                </c:pt>
                <c:pt idx="63">
                  <c:v>472191.76</c:v>
                </c:pt>
                <c:pt idx="64">
                  <c:v>759181.55999999994</c:v>
                </c:pt>
                <c:pt idx="65">
                  <c:v>468141.07</c:v>
                </c:pt>
                <c:pt idx="66">
                  <c:v>920587.23999999987</c:v>
                </c:pt>
                <c:pt idx="67">
                  <c:v>835001.78999999992</c:v>
                </c:pt>
                <c:pt idx="68">
                  <c:v>814140.02</c:v>
                </c:pt>
                <c:pt idx="69">
                  <c:v>771318.28</c:v>
                </c:pt>
                <c:pt idx="70">
                  <c:v>562144.35</c:v>
                </c:pt>
                <c:pt idx="71">
                  <c:v>929459.6</c:v>
                </c:pt>
                <c:pt idx="72">
                  <c:v>583192.78</c:v>
                </c:pt>
                <c:pt idx="73">
                  <c:v>484868.55999999994</c:v>
                </c:pt>
                <c:pt idx="74">
                  <c:v>1116155.19</c:v>
                </c:pt>
                <c:pt idx="75">
                  <c:v>1197465.71</c:v>
                </c:pt>
                <c:pt idx="76">
                  <c:v>1016502.41</c:v>
                </c:pt>
                <c:pt idx="77">
                  <c:v>868593.6100000001</c:v>
                </c:pt>
                <c:pt idx="78">
                  <c:v>879733.3</c:v>
                </c:pt>
                <c:pt idx="79">
                  <c:v>1349544.9300000002</c:v>
                </c:pt>
                <c:pt idx="80">
                  <c:v>697927.15</c:v>
                </c:pt>
                <c:pt idx="81">
                  <c:v>1188394.25</c:v>
                </c:pt>
                <c:pt idx="82">
                  <c:v>917970.7799999998</c:v>
                </c:pt>
                <c:pt idx="83">
                  <c:v>576491.41</c:v>
                </c:pt>
                <c:pt idx="84">
                  <c:v>921060.76</c:v>
                </c:pt>
                <c:pt idx="85">
                  <c:v>1053455.2100000002</c:v>
                </c:pt>
                <c:pt idx="86">
                  <c:v>710296.06999999983</c:v>
                </c:pt>
                <c:pt idx="87">
                  <c:v>706487.56</c:v>
                </c:pt>
                <c:pt idx="88">
                  <c:v>735916.05</c:v>
                </c:pt>
                <c:pt idx="89">
                  <c:v>1248644.1199999999</c:v>
                </c:pt>
              </c:numCache>
            </c:numRef>
          </c:yVal>
          <c:smooth val="0"/>
          <c:extLst>
            <c:ext xmlns:c16="http://schemas.microsoft.com/office/drawing/2014/chart" uri="{C3380CC4-5D6E-409C-BE32-E72D297353CC}">
              <c16:uniqueId val="{00000000-8294-40F7-95A4-C89500A9526D}"/>
            </c:ext>
          </c:extLst>
        </c:ser>
        <c:dLbls>
          <c:showLegendKey val="0"/>
          <c:showVal val="0"/>
          <c:showCatName val="0"/>
          <c:showSerName val="0"/>
          <c:showPercent val="0"/>
          <c:showBubbleSize val="0"/>
        </c:dLbls>
        <c:axId val="279990256"/>
        <c:axId val="279991216"/>
      </c:scatterChart>
      <c:valAx>
        <c:axId val="279990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91216"/>
        <c:crosses val="autoZero"/>
        <c:crossBetween val="midCat"/>
      </c:valAx>
      <c:valAx>
        <c:axId val="27999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90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CC66">
              <a:alpha val="30196"/>
            </a:srgb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3399">
              <a:alpha val="89804"/>
            </a:srgbClr>
          </a:solidFill>
          <a:ln w="19050">
            <a:solidFill>
              <a:schemeClr val="lt1"/>
            </a:solidFill>
          </a:ln>
          <a:effectLst/>
        </c:spPr>
        <c:dLbl>
          <c:idx val="0"/>
          <c:layout>
            <c:manualLayout>
              <c:x val="-0.12787216949592328"/>
              <c:y val="3.680819957695657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EE1249-03B6-4B9F-9C0A-4D82F017BC9E}" type="PERCENTAGE">
                  <a:rPr lang="en-US" sz="1100">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00CC99"/>
          </a:solidFill>
          <a:ln w="19050">
            <a:solidFill>
              <a:schemeClr val="lt1"/>
            </a:solidFill>
          </a:ln>
          <a:effectLst/>
        </c:spPr>
        <c:dLbl>
          <c:idx val="0"/>
          <c:layout>
            <c:manualLayout>
              <c:x val="0.13774213346905781"/>
              <c:y val="-4.849010824934676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BDCEBA-AD2E-45B1-8272-D8AFB5B9EE9E}" type="PERCENTAGE">
                  <a:rPr lang="en-US" sz="1100">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956457754919367"/>
          <c:y val="0.263082790054469"/>
          <c:w val="0.48632515588730602"/>
          <c:h val="0.678502032004064"/>
        </c:manualLayout>
      </c:layout>
      <c:pieChart>
        <c:varyColors val="1"/>
        <c:ser>
          <c:idx val="0"/>
          <c:order val="0"/>
          <c:tx>
            <c:strRef>
              <c:f>Sheet1!$B$3</c:f>
              <c:strCache>
                <c:ptCount val="1"/>
                <c:pt idx="0">
                  <c:v>Total</c:v>
                </c:pt>
              </c:strCache>
            </c:strRef>
          </c:tx>
          <c:spPr>
            <a:solidFill>
              <a:srgbClr val="00CC66">
                <a:alpha val="30196"/>
              </a:srgbClr>
            </a:solidFill>
          </c:spPr>
          <c:dPt>
            <c:idx val="0"/>
            <c:bubble3D val="0"/>
            <c:spPr>
              <a:solidFill>
                <a:srgbClr val="003399">
                  <a:alpha val="89804"/>
                </a:srgbClr>
              </a:solidFill>
              <a:ln w="19050">
                <a:solidFill>
                  <a:schemeClr val="lt1"/>
                </a:solidFill>
              </a:ln>
              <a:effectLst/>
            </c:spPr>
            <c:extLst>
              <c:ext xmlns:c16="http://schemas.microsoft.com/office/drawing/2014/chart" uri="{C3380CC4-5D6E-409C-BE32-E72D297353CC}">
                <c16:uniqueId val="{00000001-C8E6-46A8-AC5F-51CCB3C34A32}"/>
              </c:ext>
            </c:extLst>
          </c:dPt>
          <c:dPt>
            <c:idx val="1"/>
            <c:bubble3D val="0"/>
            <c:spPr>
              <a:solidFill>
                <a:srgbClr val="00CC99"/>
              </a:solidFill>
              <a:ln w="19050">
                <a:solidFill>
                  <a:schemeClr val="lt1"/>
                </a:solidFill>
              </a:ln>
              <a:effectLst/>
            </c:spPr>
            <c:extLst>
              <c:ext xmlns:c16="http://schemas.microsoft.com/office/drawing/2014/chart" uri="{C3380CC4-5D6E-409C-BE32-E72D297353CC}">
                <c16:uniqueId val="{00000003-C8E6-46A8-AC5F-51CCB3C34A32}"/>
              </c:ext>
            </c:extLst>
          </c:dPt>
          <c:dLbls>
            <c:dLbl>
              <c:idx val="0"/>
              <c:layout>
                <c:manualLayout>
                  <c:x val="-0.12787216949592328"/>
                  <c:y val="3.6808199576956573E-2"/>
                </c:manualLayout>
              </c:layout>
              <c:tx>
                <c:rich>
                  <a:bodyPr/>
                  <a:lstStyle/>
                  <a:p>
                    <a:fld id="{2DEE1249-03B6-4B9F-9C0A-4D82F017BC9E}" type="PERCENTAGE">
                      <a:rPr lang="en-US" sz="1100">
                        <a:solidFill>
                          <a:schemeClr val="bg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8E6-46A8-AC5F-51CCB3C34A32}"/>
                </c:ext>
              </c:extLst>
            </c:dLbl>
            <c:dLbl>
              <c:idx val="1"/>
              <c:layout>
                <c:manualLayout>
                  <c:x val="0.13774213346905781"/>
                  <c:y val="-4.8490108249346769E-2"/>
                </c:manualLayout>
              </c:layout>
              <c:tx>
                <c:rich>
                  <a:bodyPr/>
                  <a:lstStyle/>
                  <a:p>
                    <a:fld id="{97BDCEBA-AD2E-45B1-8272-D8AFB5B9EE9E}" type="PERCENTAGE">
                      <a:rPr lang="en-US" sz="1100">
                        <a:solidFill>
                          <a:schemeClr val="bg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8E6-46A8-AC5F-51CCB3C34A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Female</c:v>
                </c:pt>
                <c:pt idx="1">
                  <c:v>Male</c:v>
                </c:pt>
              </c:strCache>
            </c:strRef>
          </c:cat>
          <c:val>
            <c:numRef>
              <c:f>Sheet1!$B$4:$B$6</c:f>
              <c:numCache>
                <c:formatCode>General</c:formatCode>
                <c:ptCount val="2"/>
                <c:pt idx="0">
                  <c:v>509</c:v>
                </c:pt>
                <c:pt idx="1">
                  <c:v>491</c:v>
                </c:pt>
              </c:numCache>
            </c:numRef>
          </c:val>
          <c:extLst>
            <c:ext xmlns:c16="http://schemas.microsoft.com/office/drawing/2014/chart" uri="{C3380CC4-5D6E-409C-BE32-E72D297353CC}">
              <c16:uniqueId val="{00000004-C8E6-46A8-AC5F-51CCB3C34A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CC99"/>
          </a:solidFill>
          <a:ln>
            <a:noFill/>
          </a:ln>
          <a:effectLst/>
        </c:spPr>
      </c:pivotFmt>
      <c:pivotFmt>
        <c:idx val="4"/>
        <c:spPr>
          <a:solidFill>
            <a:srgbClr val="00CC99"/>
          </a:solidFill>
          <a:ln>
            <a:noFill/>
          </a:ln>
          <a:effectLst/>
        </c:spPr>
      </c:pivotFmt>
      <c:pivotFmt>
        <c:idx val="5"/>
        <c:spPr>
          <a:solidFill>
            <a:srgbClr val="00CC99"/>
          </a:solidFill>
          <a:ln>
            <a:noFill/>
          </a:ln>
          <a:effectLst/>
        </c:spPr>
      </c:pivotFmt>
    </c:pivotFmts>
    <c:plotArea>
      <c:layout>
        <c:manualLayout>
          <c:layoutTarget val="inner"/>
          <c:xMode val="edge"/>
          <c:yMode val="edge"/>
          <c:x val="0.13320750900761061"/>
          <c:y val="0.292972111362792"/>
          <c:w val="0.82122080170086276"/>
          <c:h val="0.5135113675859011"/>
        </c:manualLayout>
      </c:layout>
      <c:barChart>
        <c:barDir val="col"/>
        <c:grouping val="clustered"/>
        <c:varyColors val="0"/>
        <c:ser>
          <c:idx val="0"/>
          <c:order val="0"/>
          <c:tx>
            <c:strRef>
              <c:f>Sheet1!$B$9</c:f>
              <c:strCache>
                <c:ptCount val="1"/>
                <c:pt idx="0">
                  <c:v>Total</c:v>
                </c:pt>
              </c:strCache>
            </c:strRef>
          </c:tx>
          <c:spPr>
            <a:solidFill>
              <a:srgbClr val="00CC99"/>
            </a:solidFill>
            <a:ln>
              <a:noFill/>
            </a:ln>
            <a:effectLst/>
          </c:spPr>
          <c:invertIfNegative val="0"/>
          <c:cat>
            <c:strRef>
              <c:f>Sheet1!$A$10:$A$16</c:f>
              <c:strCache>
                <c:ptCount val="6"/>
                <c:pt idx="0">
                  <c:v>Cardiology</c:v>
                </c:pt>
                <c:pt idx="1">
                  <c:v>ENT</c:v>
                </c:pt>
                <c:pt idx="2">
                  <c:v>General Medicine</c:v>
                </c:pt>
                <c:pt idx="3">
                  <c:v>Neurology</c:v>
                </c:pt>
                <c:pt idx="4">
                  <c:v>Orthopedics</c:v>
                </c:pt>
                <c:pt idx="5">
                  <c:v>Pediatrics</c:v>
                </c:pt>
              </c:strCache>
            </c:strRef>
          </c:cat>
          <c:val>
            <c:numRef>
              <c:f>Sheet1!$B$10:$B$16</c:f>
              <c:numCache>
                <c:formatCode>General</c:formatCode>
                <c:ptCount val="6"/>
                <c:pt idx="0">
                  <c:v>165</c:v>
                </c:pt>
                <c:pt idx="1">
                  <c:v>162</c:v>
                </c:pt>
                <c:pt idx="2">
                  <c:v>155</c:v>
                </c:pt>
                <c:pt idx="3">
                  <c:v>188</c:v>
                </c:pt>
                <c:pt idx="4">
                  <c:v>157</c:v>
                </c:pt>
                <c:pt idx="5">
                  <c:v>173</c:v>
                </c:pt>
              </c:numCache>
            </c:numRef>
          </c:val>
          <c:extLst>
            <c:ext xmlns:c16="http://schemas.microsoft.com/office/drawing/2014/chart" uri="{C3380CC4-5D6E-409C-BE32-E72D297353CC}">
              <c16:uniqueId val="{00000000-CF74-42E7-90F4-5F454FE2802D}"/>
            </c:ext>
          </c:extLst>
        </c:ser>
        <c:dLbls>
          <c:showLegendKey val="0"/>
          <c:showVal val="0"/>
          <c:showCatName val="0"/>
          <c:showSerName val="0"/>
          <c:showPercent val="0"/>
          <c:showBubbleSize val="0"/>
        </c:dLbls>
        <c:gapWidth val="219"/>
        <c:overlap val="-27"/>
        <c:axId val="927050463"/>
        <c:axId val="927038463"/>
      </c:barChart>
      <c:catAx>
        <c:axId val="92705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38463"/>
        <c:crosses val="autoZero"/>
        <c:auto val="1"/>
        <c:lblAlgn val="ctr"/>
        <c:lblOffset val="100"/>
        <c:noMultiLvlLbl val="0"/>
      </c:catAx>
      <c:valAx>
        <c:axId val="927038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5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30563626965368"/>
          <c:y val="0.24293765505339229"/>
          <c:w val="0.82820041854232851"/>
          <c:h val="0.52733254233631754"/>
        </c:manualLayout>
      </c:layout>
      <c:barChart>
        <c:barDir val="col"/>
        <c:grouping val="clustered"/>
        <c:varyColors val="0"/>
        <c:ser>
          <c:idx val="0"/>
          <c:order val="0"/>
          <c:tx>
            <c:strRef>
              <c:f>Sheet1!$B$19</c:f>
              <c:strCache>
                <c:ptCount val="1"/>
                <c:pt idx="0">
                  <c:v>Total</c:v>
                </c:pt>
              </c:strCache>
            </c:strRef>
          </c:tx>
          <c:spPr>
            <a:solidFill>
              <a:srgbClr val="00CC99"/>
            </a:solidFill>
            <a:ln>
              <a:noFill/>
            </a:ln>
            <a:effectLst/>
          </c:spPr>
          <c:invertIfNegative val="0"/>
          <c:cat>
            <c:strRef>
              <c:f>Sheet1!$A$20:$A$26</c:f>
              <c:strCache>
                <c:ptCount val="6"/>
                <c:pt idx="0">
                  <c:v>Asthma</c:v>
                </c:pt>
                <c:pt idx="1">
                  <c:v>Diabetes</c:v>
                </c:pt>
                <c:pt idx="2">
                  <c:v>Fever</c:v>
                </c:pt>
                <c:pt idx="3">
                  <c:v>Fracture</c:v>
                </c:pt>
                <c:pt idx="4">
                  <c:v>Hypertension</c:v>
                </c:pt>
                <c:pt idx="5">
                  <c:v>Migraine</c:v>
                </c:pt>
              </c:strCache>
            </c:strRef>
          </c:cat>
          <c:val>
            <c:numRef>
              <c:f>Sheet1!$B$20:$B$26</c:f>
              <c:numCache>
                <c:formatCode>General</c:formatCode>
                <c:ptCount val="6"/>
                <c:pt idx="0">
                  <c:v>167</c:v>
                </c:pt>
                <c:pt idx="1">
                  <c:v>144</c:v>
                </c:pt>
                <c:pt idx="2">
                  <c:v>186</c:v>
                </c:pt>
                <c:pt idx="3">
                  <c:v>165</c:v>
                </c:pt>
                <c:pt idx="4">
                  <c:v>179</c:v>
                </c:pt>
                <c:pt idx="5">
                  <c:v>159</c:v>
                </c:pt>
              </c:numCache>
            </c:numRef>
          </c:val>
          <c:extLst>
            <c:ext xmlns:c16="http://schemas.microsoft.com/office/drawing/2014/chart" uri="{C3380CC4-5D6E-409C-BE32-E72D297353CC}">
              <c16:uniqueId val="{00000000-0AB8-495A-902F-A640A47EB297}"/>
            </c:ext>
          </c:extLst>
        </c:ser>
        <c:dLbls>
          <c:showLegendKey val="0"/>
          <c:showVal val="0"/>
          <c:showCatName val="0"/>
          <c:showSerName val="0"/>
          <c:showPercent val="0"/>
          <c:showBubbleSize val="0"/>
        </c:dLbls>
        <c:gapWidth val="219"/>
        <c:overlap val="-27"/>
        <c:axId val="1304033855"/>
        <c:axId val="1304035295"/>
      </c:barChart>
      <c:catAx>
        <c:axId val="1304033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Diagnosis</a:t>
                </a:r>
              </a:p>
            </c:rich>
          </c:tx>
          <c:layout>
            <c:manualLayout>
              <c:xMode val="edge"/>
              <c:yMode val="edge"/>
              <c:x val="0.42563044820162294"/>
              <c:y val="0.926921463584175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035295"/>
        <c:crosses val="autoZero"/>
        <c:auto val="1"/>
        <c:lblAlgn val="ctr"/>
        <c:lblOffset val="100"/>
        <c:noMultiLvlLbl val="0"/>
      </c:catAx>
      <c:valAx>
        <c:axId val="13040352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03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89093140923922"/>
          <c:y val="0.23396276276276276"/>
          <c:w val="0.63880273045717195"/>
          <c:h val="0.62006006006006009"/>
        </c:manualLayout>
      </c:layout>
      <c:barChart>
        <c:barDir val="bar"/>
        <c:grouping val="clustered"/>
        <c:varyColors val="0"/>
        <c:ser>
          <c:idx val="0"/>
          <c:order val="0"/>
          <c:tx>
            <c:strRef>
              <c:f>Sheet1!$B$29</c:f>
              <c:strCache>
                <c:ptCount val="1"/>
                <c:pt idx="0">
                  <c:v>Total</c:v>
                </c:pt>
              </c:strCache>
            </c:strRef>
          </c:tx>
          <c:spPr>
            <a:solidFill>
              <a:srgbClr val="00CC99"/>
            </a:solidFill>
            <a:ln>
              <a:noFill/>
            </a:ln>
            <a:effectLst/>
          </c:spPr>
          <c:invertIfNegative val="0"/>
          <c:cat>
            <c:strRef>
              <c:f>Sheet1!$A$30:$A$36</c:f>
              <c:strCache>
                <c:ptCount val="6"/>
                <c:pt idx="0">
                  <c:v>Cardiology</c:v>
                </c:pt>
                <c:pt idx="1">
                  <c:v>ENT</c:v>
                </c:pt>
                <c:pt idx="2">
                  <c:v>General Medicine</c:v>
                </c:pt>
                <c:pt idx="3">
                  <c:v>Neurology</c:v>
                </c:pt>
                <c:pt idx="4">
                  <c:v>Orthopedics</c:v>
                </c:pt>
                <c:pt idx="5">
                  <c:v>Pediatrics</c:v>
                </c:pt>
              </c:strCache>
            </c:strRef>
          </c:cat>
          <c:val>
            <c:numRef>
              <c:f>Sheet1!$B$30:$B$36</c:f>
              <c:numCache>
                <c:formatCode>_ * #,##0_ ;_ * \-#,##0_ ;_ * "-"??_ ;_ @_ </c:formatCode>
                <c:ptCount val="6"/>
                <c:pt idx="0">
                  <c:v>75949.725454545493</c:v>
                </c:pt>
                <c:pt idx="1">
                  <c:v>77086.143395061692</c:v>
                </c:pt>
                <c:pt idx="2">
                  <c:v>75196.481032258074</c:v>
                </c:pt>
                <c:pt idx="3">
                  <c:v>74729.235106382941</c:v>
                </c:pt>
                <c:pt idx="4">
                  <c:v>71505.213184713386</c:v>
                </c:pt>
                <c:pt idx="5">
                  <c:v>82316.894682080892</c:v>
                </c:pt>
              </c:numCache>
            </c:numRef>
          </c:val>
          <c:extLst>
            <c:ext xmlns:c16="http://schemas.microsoft.com/office/drawing/2014/chart" uri="{C3380CC4-5D6E-409C-BE32-E72D297353CC}">
              <c16:uniqueId val="{00000000-8253-4366-8D80-C7CC3069B51D}"/>
            </c:ext>
          </c:extLst>
        </c:ser>
        <c:dLbls>
          <c:showLegendKey val="0"/>
          <c:showVal val="0"/>
          <c:showCatName val="0"/>
          <c:showSerName val="0"/>
          <c:showPercent val="0"/>
          <c:showBubbleSize val="0"/>
        </c:dLbls>
        <c:gapWidth val="182"/>
        <c:axId val="1302637999"/>
        <c:axId val="1302638479"/>
      </c:barChart>
      <c:catAx>
        <c:axId val="1302637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638479"/>
        <c:crosses val="autoZero"/>
        <c:auto val="1"/>
        <c:lblAlgn val="ctr"/>
        <c:lblOffset val="100"/>
        <c:noMultiLvlLbl val="0"/>
      </c:catAx>
      <c:valAx>
        <c:axId val="130263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Cost</a:t>
                </a:r>
                <a:endParaRPr lang="en-IN"/>
              </a:p>
            </c:rich>
          </c:tx>
          <c:layout>
            <c:manualLayout>
              <c:xMode val="edge"/>
              <c:yMode val="edge"/>
              <c:x val="0.47742208317116253"/>
              <c:y val="0.927241441441441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63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3399">
              <a:alpha val="89804"/>
            </a:srgbClr>
          </a:solidFill>
          <a:ln w="19050">
            <a:solidFill>
              <a:schemeClr val="lt1"/>
            </a:solidFill>
          </a:ln>
          <a:effectLst/>
        </c:spPr>
        <c:dLbl>
          <c:idx val="0"/>
          <c:layout>
            <c:manualLayout>
              <c:x val="8.0645161290322467E-2"/>
              <c:y val="3.9494470774091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CC99"/>
          </a:solidFill>
          <a:ln w="19050">
            <a:solidFill>
              <a:schemeClr val="lt1"/>
            </a:solidFill>
          </a:ln>
          <a:effectLst/>
        </c:spPr>
        <c:dLbl>
          <c:idx val="0"/>
          <c:layout>
            <c:manualLayout>
              <c:x val="-7.4671445639187609E-2"/>
              <c:y val="-5.529225908372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453691944420923"/>
          <c:y val="0.28436018957345971"/>
          <c:w val="0.50238948626045388"/>
          <c:h val="0.66429699842022105"/>
        </c:manualLayout>
      </c:layout>
      <c:doughnutChart>
        <c:varyColors val="1"/>
        <c:ser>
          <c:idx val="0"/>
          <c:order val="0"/>
          <c:tx>
            <c:strRef>
              <c:f>Sheet1!$B$39</c:f>
              <c:strCache>
                <c:ptCount val="1"/>
                <c:pt idx="0">
                  <c:v>Total</c:v>
                </c:pt>
              </c:strCache>
            </c:strRef>
          </c:tx>
          <c:dPt>
            <c:idx val="0"/>
            <c:bubble3D val="0"/>
            <c:spPr>
              <a:solidFill>
                <a:srgbClr val="003399">
                  <a:alpha val="89804"/>
                </a:srgbClr>
              </a:solidFill>
              <a:ln w="19050">
                <a:solidFill>
                  <a:schemeClr val="lt1"/>
                </a:solidFill>
              </a:ln>
              <a:effectLst/>
            </c:spPr>
            <c:extLst>
              <c:ext xmlns:c16="http://schemas.microsoft.com/office/drawing/2014/chart" uri="{C3380CC4-5D6E-409C-BE32-E72D297353CC}">
                <c16:uniqueId val="{00000001-4E3F-43CA-BC73-66B9CFC1D94D}"/>
              </c:ext>
            </c:extLst>
          </c:dPt>
          <c:dPt>
            <c:idx val="1"/>
            <c:bubble3D val="0"/>
            <c:spPr>
              <a:solidFill>
                <a:srgbClr val="00CC99"/>
              </a:solidFill>
              <a:ln w="19050">
                <a:solidFill>
                  <a:schemeClr val="lt1"/>
                </a:solidFill>
              </a:ln>
              <a:effectLst/>
            </c:spPr>
            <c:extLst>
              <c:ext xmlns:c16="http://schemas.microsoft.com/office/drawing/2014/chart" uri="{C3380CC4-5D6E-409C-BE32-E72D297353CC}">
                <c16:uniqueId val="{00000003-4E3F-43CA-BC73-66B9CFC1D94D}"/>
              </c:ext>
            </c:extLst>
          </c:dPt>
          <c:dLbls>
            <c:dLbl>
              <c:idx val="0"/>
              <c:layout>
                <c:manualLayout>
                  <c:x val="8.0645161290322467E-2"/>
                  <c:y val="3.94944707740916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E3F-43CA-BC73-66B9CFC1D94D}"/>
                </c:ext>
              </c:extLst>
            </c:dLbl>
            <c:dLbl>
              <c:idx val="1"/>
              <c:layout>
                <c:manualLayout>
                  <c:x val="-7.4671445639187609E-2"/>
                  <c:y val="-5.52922590837283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3F-43CA-BC73-66B9CFC1D9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Sheet1!$A$40:$A$42</c:f>
              <c:strCache>
                <c:ptCount val="2"/>
                <c:pt idx="0">
                  <c:v>No</c:v>
                </c:pt>
                <c:pt idx="1">
                  <c:v>Yes</c:v>
                </c:pt>
              </c:strCache>
            </c:strRef>
          </c:cat>
          <c:val>
            <c:numRef>
              <c:f>Sheet1!$B$40:$B$42</c:f>
              <c:numCache>
                <c:formatCode>General</c:formatCode>
                <c:ptCount val="2"/>
                <c:pt idx="0">
                  <c:v>534</c:v>
                </c:pt>
                <c:pt idx="1">
                  <c:v>466</c:v>
                </c:pt>
              </c:numCache>
            </c:numRef>
          </c:val>
          <c:extLst>
            <c:ext xmlns:c16="http://schemas.microsoft.com/office/drawing/2014/chart" uri="{C3380CC4-5D6E-409C-BE32-E72D297353CC}">
              <c16:uniqueId val="{00000004-4E3F-43CA-BC73-66B9CFC1D9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[Hospital_Dataset_1000_Rows (1).xlsx]Sheet1!PivotTable6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28234467529859"/>
          <c:y val="0.24537649327014902"/>
          <c:w val="0.81779509183980714"/>
          <c:h val="0.52951945080091534"/>
        </c:manualLayout>
      </c:layout>
      <c:lineChart>
        <c:grouping val="standard"/>
        <c:varyColors val="0"/>
        <c:ser>
          <c:idx val="0"/>
          <c:order val="0"/>
          <c:tx>
            <c:strRef>
              <c:f>Sheet1!$B$45</c:f>
              <c:strCache>
                <c:ptCount val="1"/>
                <c:pt idx="0">
                  <c:v>Total</c:v>
                </c:pt>
              </c:strCache>
            </c:strRef>
          </c:tx>
          <c:spPr>
            <a:ln w="28575" cap="rnd">
              <a:solidFill>
                <a:schemeClr val="accent1"/>
              </a:solidFill>
              <a:round/>
            </a:ln>
            <a:effectLst/>
          </c:spPr>
          <c:marker>
            <c:symbol val="none"/>
          </c:marker>
          <c:cat>
            <c:strRef>
              <c:f>Sheet1!$A$46:$A$52</c:f>
              <c:strCache>
                <c:ptCount val="6"/>
                <c:pt idx="0">
                  <c:v>Alappuzha</c:v>
                </c:pt>
                <c:pt idx="1">
                  <c:v>Kochi</c:v>
                </c:pt>
                <c:pt idx="2">
                  <c:v>Kollam</c:v>
                </c:pt>
                <c:pt idx="3">
                  <c:v>Kozhikode</c:v>
                </c:pt>
                <c:pt idx="4">
                  <c:v>Thrissur</c:v>
                </c:pt>
                <c:pt idx="5">
                  <c:v>Trivandrum</c:v>
                </c:pt>
              </c:strCache>
            </c:strRef>
          </c:cat>
          <c:val>
            <c:numRef>
              <c:f>Sheet1!$B$46:$B$52</c:f>
              <c:numCache>
                <c:formatCode>General</c:formatCode>
                <c:ptCount val="6"/>
                <c:pt idx="0">
                  <c:v>178</c:v>
                </c:pt>
                <c:pt idx="1">
                  <c:v>162</c:v>
                </c:pt>
                <c:pt idx="2">
                  <c:v>192</c:v>
                </c:pt>
                <c:pt idx="3">
                  <c:v>156</c:v>
                </c:pt>
                <c:pt idx="4">
                  <c:v>144</c:v>
                </c:pt>
                <c:pt idx="5">
                  <c:v>168</c:v>
                </c:pt>
              </c:numCache>
            </c:numRef>
          </c:val>
          <c:smooth val="0"/>
          <c:extLst>
            <c:ext xmlns:c16="http://schemas.microsoft.com/office/drawing/2014/chart" uri="{C3380CC4-5D6E-409C-BE32-E72D297353CC}">
              <c16:uniqueId val="{00000000-91FB-45B3-A6DF-86887536313E}"/>
            </c:ext>
          </c:extLst>
        </c:ser>
        <c:dLbls>
          <c:showLegendKey val="0"/>
          <c:showVal val="0"/>
          <c:showCatName val="0"/>
          <c:showSerName val="0"/>
          <c:showPercent val="0"/>
          <c:showBubbleSize val="0"/>
        </c:dLbls>
        <c:smooth val="0"/>
        <c:axId val="1305978959"/>
        <c:axId val="930227647"/>
      </c:lineChart>
      <c:catAx>
        <c:axId val="1305978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layout>
            <c:manualLayout>
              <c:xMode val="edge"/>
              <c:yMode val="edge"/>
              <c:x val="0.49908687142426972"/>
              <c:y val="0.91850453761929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227647"/>
        <c:crosses val="autoZero"/>
        <c:auto val="1"/>
        <c:lblAlgn val="ctr"/>
        <c:lblOffset val="100"/>
        <c:noMultiLvlLbl val="0"/>
      </c:catAx>
      <c:valAx>
        <c:axId val="930227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layout>
            <c:manualLayout>
              <c:xMode val="edge"/>
              <c:yMode val="edge"/>
              <c:x val="2.4910669477065137E-2"/>
              <c:y val="0.516877180970227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7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0744-4419-9888-A6F20435F357}">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8.xml"/><Relationship Id="rId18" Type="http://schemas.openxmlformats.org/officeDocument/2006/relationships/chart" Target="../charts/chart13.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chart" Target="../charts/chart12.xml"/><Relationship Id="rId2" Type="http://schemas.microsoft.com/office/2007/relationships/hdphoto" Target="../media/hdphoto1.wdp"/><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5" Type="http://schemas.openxmlformats.org/officeDocument/2006/relationships/chart" Target="../charts/chart10.xml"/><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167640</xdr:rowOff>
    </xdr:from>
    <xdr:to>
      <xdr:col>9</xdr:col>
      <xdr:colOff>45720</xdr:colOff>
      <xdr:row>14</xdr:row>
      <xdr:rowOff>45720</xdr:rowOff>
    </xdr:to>
    <xdr:graphicFrame macro="">
      <xdr:nvGraphicFramePr>
        <xdr:cNvPr id="2" name="Chart 1">
          <a:extLst>
            <a:ext uri="{FF2B5EF4-FFF2-40B4-BE49-F238E27FC236}">
              <a16:creationId xmlns:a16="http://schemas.microsoft.com/office/drawing/2014/main" id="{DAE019E7-2CA9-BB65-1381-B82BA3A28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14</xdr:row>
      <xdr:rowOff>175260</xdr:rowOff>
    </xdr:from>
    <xdr:to>
      <xdr:col>9</xdr:col>
      <xdr:colOff>434340</xdr:colOff>
      <xdr:row>27</xdr:row>
      <xdr:rowOff>114300</xdr:rowOff>
    </xdr:to>
    <xdr:graphicFrame macro="">
      <xdr:nvGraphicFramePr>
        <xdr:cNvPr id="3" name="Chart 2">
          <a:extLst>
            <a:ext uri="{FF2B5EF4-FFF2-40B4-BE49-F238E27FC236}">
              <a16:creationId xmlns:a16="http://schemas.microsoft.com/office/drawing/2014/main" id="{9A4FBC8D-28D9-D897-BEB3-299C4DB9B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29</xdr:row>
      <xdr:rowOff>7620</xdr:rowOff>
    </xdr:from>
    <xdr:to>
      <xdr:col>8</xdr:col>
      <xdr:colOff>502920</xdr:colOff>
      <xdr:row>40</xdr:row>
      <xdr:rowOff>152400</xdr:rowOff>
    </xdr:to>
    <xdr:graphicFrame macro="">
      <xdr:nvGraphicFramePr>
        <xdr:cNvPr id="4" name="Chart 3">
          <a:extLst>
            <a:ext uri="{FF2B5EF4-FFF2-40B4-BE49-F238E27FC236}">
              <a16:creationId xmlns:a16="http://schemas.microsoft.com/office/drawing/2014/main" id="{3C87483B-8106-217C-C9EA-44AD9DDC6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41</xdr:row>
      <xdr:rowOff>167640</xdr:rowOff>
    </xdr:from>
    <xdr:to>
      <xdr:col>9</xdr:col>
      <xdr:colOff>144780</xdr:colOff>
      <xdr:row>53</xdr:row>
      <xdr:rowOff>160020</xdr:rowOff>
    </xdr:to>
    <xdr:graphicFrame macro="">
      <xdr:nvGraphicFramePr>
        <xdr:cNvPr id="5" name="Chart 4">
          <a:extLst>
            <a:ext uri="{FF2B5EF4-FFF2-40B4-BE49-F238E27FC236}">
              <a16:creationId xmlns:a16="http://schemas.microsoft.com/office/drawing/2014/main" id="{CA93EE53-FA42-2FEC-7B69-4C7B71AB5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601980</xdr:colOff>
      <xdr:row>55</xdr:row>
      <xdr:rowOff>0</xdr:rowOff>
    </xdr:from>
    <xdr:to>
      <xdr:col>9</xdr:col>
      <xdr:colOff>60960</xdr:colOff>
      <xdr:row>65</xdr:row>
      <xdr:rowOff>175260</xdr:rowOff>
    </xdr:to>
    <xdr:graphicFrame macro="">
      <xdr:nvGraphicFramePr>
        <xdr:cNvPr id="6" name="Chart 5">
          <a:extLst>
            <a:ext uri="{FF2B5EF4-FFF2-40B4-BE49-F238E27FC236}">
              <a16:creationId xmlns:a16="http://schemas.microsoft.com/office/drawing/2014/main" id="{AA739B43-F592-1880-1436-476F81CF8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601980</xdr:colOff>
      <xdr:row>67</xdr:row>
      <xdr:rowOff>7620</xdr:rowOff>
    </xdr:from>
    <xdr:to>
      <xdr:col>9</xdr:col>
      <xdr:colOff>419100</xdr:colOff>
      <xdr:row>80</xdr:row>
      <xdr:rowOff>76200</xdr:rowOff>
    </xdr:to>
    <xdr:graphicFrame macro="">
      <xdr:nvGraphicFramePr>
        <xdr:cNvPr id="7" name="Chart 6">
          <a:extLst>
            <a:ext uri="{FF2B5EF4-FFF2-40B4-BE49-F238E27FC236}">
              <a16:creationId xmlns:a16="http://schemas.microsoft.com/office/drawing/2014/main" id="{9FD35435-BEA3-8A1C-D430-768C37B70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335280</xdr:colOff>
      <xdr:row>2</xdr:row>
      <xdr:rowOff>7620</xdr:rowOff>
    </xdr:from>
    <xdr:to>
      <xdr:col>12</xdr:col>
      <xdr:colOff>335280</xdr:colOff>
      <xdr:row>15</xdr:row>
      <xdr:rowOff>97155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4B523D16-FFAC-281B-58CC-2FC0FACCE9A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6948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175260</xdr:colOff>
      <xdr:row>16</xdr:row>
      <xdr:rowOff>22861</xdr:rowOff>
    </xdr:from>
    <xdr:to>
      <xdr:col>13</xdr:col>
      <xdr:colOff>289560</xdr:colOff>
      <xdr:row>23</xdr:row>
      <xdr:rowOff>167641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F3D023F0-69CF-451B-73EC-B6305D8F636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19060" y="2948941"/>
              <a:ext cx="19431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304800</xdr:colOff>
      <xdr:row>24</xdr:row>
      <xdr:rowOff>68581</xdr:rowOff>
    </xdr:from>
    <xdr:to>
      <xdr:col>13</xdr:col>
      <xdr:colOff>327660</xdr:colOff>
      <xdr:row>36</xdr:row>
      <xdr:rowOff>1</xdr:rowOff>
    </xdr:to>
    <mc:AlternateContent xmlns:mc="http://schemas.openxmlformats.org/markup-compatibility/2006" xmlns:a14="http://schemas.microsoft.com/office/drawing/2010/main">
      <mc:Choice Requires="a14">
        <xdr:graphicFrame macro="">
          <xdr:nvGraphicFramePr>
            <xdr:cNvPr id="10" name="Diagnosis">
              <a:extLst>
                <a:ext uri="{FF2B5EF4-FFF2-40B4-BE49-F238E27FC236}">
                  <a16:creationId xmlns:a16="http://schemas.microsoft.com/office/drawing/2014/main" id="{717BB4F1-4BBD-9C1A-C135-1B6FE008381E}"/>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7848600" y="4457701"/>
              <a:ext cx="185166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320040</xdr:colOff>
      <xdr:row>36</xdr:row>
      <xdr:rowOff>30481</xdr:rowOff>
    </xdr:from>
    <xdr:to>
      <xdr:col>13</xdr:col>
      <xdr:colOff>297180</xdr:colOff>
      <xdr:row>42</xdr:row>
      <xdr:rowOff>7621</xdr:rowOff>
    </xdr:to>
    <mc:AlternateContent xmlns:mc="http://schemas.openxmlformats.org/markup-compatibility/2006" xmlns:a14="http://schemas.microsoft.com/office/drawing/2010/main">
      <mc:Choice Requires="a14">
        <xdr:graphicFrame macro="">
          <xdr:nvGraphicFramePr>
            <xdr:cNvPr id="11" name="Insurance">
              <a:extLst>
                <a:ext uri="{FF2B5EF4-FFF2-40B4-BE49-F238E27FC236}">
                  <a16:creationId xmlns:a16="http://schemas.microsoft.com/office/drawing/2014/main" id="{05721F47-46D4-9E8F-7D10-5FBB9428AF4E}"/>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mlns="">
        <xdr:sp macro="" textlink="">
          <xdr:nvSpPr>
            <xdr:cNvPr id="0" name=""/>
            <xdr:cNvSpPr>
              <a:spLocks noTextEdit="1"/>
            </xdr:cNvSpPr>
          </xdr:nvSpPr>
          <xdr:spPr>
            <a:xfrm>
              <a:off x="7863840" y="6614161"/>
              <a:ext cx="180594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320040</xdr:colOff>
      <xdr:row>42</xdr:row>
      <xdr:rowOff>68581</xdr:rowOff>
    </xdr:from>
    <xdr:to>
      <xdr:col>13</xdr:col>
      <xdr:colOff>304800</xdr:colOff>
      <xdr:row>53</xdr:row>
      <xdr:rowOff>137161</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513FE37F-3F56-B3F8-9C51-2672BE4A90B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863840" y="7749541"/>
              <a:ext cx="181356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434340</xdr:colOff>
      <xdr:row>105</xdr:row>
      <xdr:rowOff>11430</xdr:rowOff>
    </xdr:from>
    <xdr:to>
      <xdr:col>12</xdr:col>
      <xdr:colOff>129540</xdr:colOff>
      <xdr:row>120</xdr:row>
      <xdr:rowOff>11430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ABD128B-FED6-3151-06C4-BEA3B82D68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800600" y="192138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419100</xdr:colOff>
      <xdr:row>121</xdr:row>
      <xdr:rowOff>72390</xdr:rowOff>
    </xdr:from>
    <xdr:to>
      <xdr:col>12</xdr:col>
      <xdr:colOff>114300</xdr:colOff>
      <xdr:row>136</xdr:row>
      <xdr:rowOff>72390</xdr:rowOff>
    </xdr:to>
    <xdr:graphicFrame macro="">
      <xdr:nvGraphicFramePr>
        <xdr:cNvPr id="14" name="Chart 13">
          <a:extLst>
            <a:ext uri="{FF2B5EF4-FFF2-40B4-BE49-F238E27FC236}">
              <a16:creationId xmlns:a16="http://schemas.microsoft.com/office/drawing/2014/main" id="{C7451BA8-B420-3C08-F23A-DE08B4533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160020</xdr:colOff>
      <xdr:row>4</xdr:row>
      <xdr:rowOff>91440</xdr:rowOff>
    </xdr:to>
    <xdr:sp macro="" textlink="">
      <xdr:nvSpPr>
        <xdr:cNvPr id="2" name="Rectangle: Rounded Corners 1">
          <a:extLst>
            <a:ext uri="{FF2B5EF4-FFF2-40B4-BE49-F238E27FC236}">
              <a16:creationId xmlns:a16="http://schemas.microsoft.com/office/drawing/2014/main" id="{2B596045-1C13-6852-BD95-91AEEE32F8A0}"/>
            </a:ext>
          </a:extLst>
        </xdr:cNvPr>
        <xdr:cNvSpPr/>
      </xdr:nvSpPr>
      <xdr:spPr>
        <a:xfrm>
          <a:off x="0" y="7620"/>
          <a:ext cx="14180820" cy="815340"/>
        </a:xfrm>
        <a:prstGeom prst="roundRect">
          <a:avLst/>
        </a:prstGeom>
        <a:solidFill>
          <a:srgbClr val="003399"/>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Bodoni MT" panose="02070603080606020203" pitchFamily="18" charset="0"/>
            </a:rPr>
            <a:t>            </a:t>
          </a:r>
          <a:r>
            <a:rPr lang="en-IN" sz="2800" b="1">
              <a:latin typeface="Bodoni MT" panose="02070603080606020203" pitchFamily="18" charset="0"/>
            </a:rPr>
            <a:t>PATIENT ANALYSIS DASHBOARD</a:t>
          </a:r>
        </a:p>
        <a:p>
          <a:pPr lvl="2" algn="l"/>
          <a:r>
            <a:rPr lang="en-IN" sz="1200" b="0">
              <a:latin typeface="Aptos Display" panose="020B0004020202020204" pitchFamily="34" charset="0"/>
            </a:rPr>
            <a:t>Insights into Patient Demographics,</a:t>
          </a:r>
          <a:r>
            <a:rPr lang="en-IN" sz="1200" b="0" baseline="0">
              <a:latin typeface="Aptos Display" panose="020B0004020202020204" pitchFamily="34" charset="0"/>
            </a:rPr>
            <a:t> Treatments &amp; Hospital Performance</a:t>
          </a:r>
          <a:endParaRPr lang="en-IN" sz="2800" b="0">
            <a:latin typeface="Aptos Display" panose="020B0004020202020204" pitchFamily="34" charset="0"/>
          </a:endParaRPr>
        </a:p>
      </xdr:txBody>
    </xdr:sp>
    <xdr:clientData/>
  </xdr:twoCellAnchor>
  <xdr:twoCellAnchor editAs="oneCell">
    <xdr:from>
      <xdr:col>0</xdr:col>
      <xdr:colOff>152400</xdr:colOff>
      <xdr:row>0</xdr:row>
      <xdr:rowOff>38100</xdr:rowOff>
    </xdr:from>
    <xdr:to>
      <xdr:col>1</xdr:col>
      <xdr:colOff>289625</xdr:colOff>
      <xdr:row>4</xdr:row>
      <xdr:rowOff>53405</xdr:rowOff>
    </xdr:to>
    <xdr:pic>
      <xdr:nvPicPr>
        <xdr:cNvPr id="5" name="Picture 4" descr="Medical with solid fill">
          <a:extLst>
            <a:ext uri="{FF2B5EF4-FFF2-40B4-BE49-F238E27FC236}">
              <a16:creationId xmlns:a16="http://schemas.microsoft.com/office/drawing/2014/main" id="{B203F98B-D0AE-E45E-5ADC-B3B109257EF6}"/>
            </a:ext>
          </a:extLst>
        </xdr:cNvPr>
        <xdr:cNvPicPr>
          <a:picLocks noChangeAspect="1"/>
        </xdr:cNvPicPr>
      </xdr:nvPicPr>
      <xdr:blipFill>
        <a:blip xmlns:r="http://schemas.openxmlformats.org/officeDocument/2006/relationships" r:embed="rId1">
          <a:lum bright="70000" contrast="-70000"/>
          <a:extLst>
            <a:ext uri="{BEBA8EAE-BF5A-486C-A8C5-ECC9F3942E4B}">
              <a14:imgProps xmlns:a14="http://schemas.microsoft.com/office/drawing/2010/main">
                <a14:imgLayer r:embed="rId2">
                  <a14:imgEffect>
                    <a14:brightnessContrast bright="70000" contrast="-70000"/>
                  </a14:imgEffect>
                </a14:imgLayer>
              </a14:imgProps>
            </a:ext>
          </a:extLst>
        </a:blip>
        <a:stretch>
          <a:fillRect/>
        </a:stretch>
      </xdr:blipFill>
      <xdr:spPr>
        <a:xfrm>
          <a:off x="152400" y="38100"/>
          <a:ext cx="746825" cy="746825"/>
        </a:xfrm>
        <a:prstGeom prst="rect">
          <a:avLst/>
        </a:prstGeom>
      </xdr:spPr>
    </xdr:pic>
    <xdr:clientData/>
  </xdr:twoCellAnchor>
  <xdr:twoCellAnchor>
    <xdr:from>
      <xdr:col>3</xdr:col>
      <xdr:colOff>15240</xdr:colOff>
      <xdr:row>4</xdr:row>
      <xdr:rowOff>129540</xdr:rowOff>
    </xdr:from>
    <xdr:to>
      <xdr:col>6</xdr:col>
      <xdr:colOff>526440</xdr:colOff>
      <xdr:row>9</xdr:row>
      <xdr:rowOff>76200</xdr:rowOff>
    </xdr:to>
    <xdr:sp macro="" textlink="">
      <xdr:nvSpPr>
        <xdr:cNvPr id="6" name="Rectangle: Rounded Corners 5">
          <a:extLst>
            <a:ext uri="{FF2B5EF4-FFF2-40B4-BE49-F238E27FC236}">
              <a16:creationId xmlns:a16="http://schemas.microsoft.com/office/drawing/2014/main" id="{487770A4-C365-52F5-AF76-430692E37568}"/>
            </a:ext>
          </a:extLst>
        </xdr:cNvPr>
        <xdr:cNvSpPr/>
      </xdr:nvSpPr>
      <xdr:spPr>
        <a:xfrm>
          <a:off x="1844040" y="861060"/>
          <a:ext cx="2340000" cy="861060"/>
        </a:xfrm>
        <a:prstGeom prst="roundRect">
          <a:avLst/>
        </a:prstGeom>
        <a:solidFill>
          <a:srgbClr val="00CC66">
            <a:alpha val="29804"/>
          </a:srgbClr>
        </a:solidFill>
        <a:ln>
          <a:solidFill>
            <a:srgbClr val="0070C0"/>
          </a:solidFill>
        </a:ln>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       </a:t>
          </a:r>
          <a:r>
            <a:rPr lang="en-IN" sz="1200" b="1">
              <a:solidFill>
                <a:schemeClr val="tx1"/>
              </a:solidFill>
              <a:latin typeface="+mj-lt"/>
            </a:rPr>
            <a:t>TOTAL PATIENTS</a:t>
          </a:r>
        </a:p>
      </xdr:txBody>
    </xdr:sp>
    <xdr:clientData/>
  </xdr:twoCellAnchor>
  <xdr:twoCellAnchor>
    <xdr:from>
      <xdr:col>7</xdr:col>
      <xdr:colOff>60960</xdr:colOff>
      <xdr:row>4</xdr:row>
      <xdr:rowOff>129540</xdr:rowOff>
    </xdr:from>
    <xdr:to>
      <xdr:col>10</xdr:col>
      <xdr:colOff>572160</xdr:colOff>
      <xdr:row>9</xdr:row>
      <xdr:rowOff>83820</xdr:rowOff>
    </xdr:to>
    <xdr:sp macro="" textlink="">
      <xdr:nvSpPr>
        <xdr:cNvPr id="7" name="Rectangle: Rounded Corners 6">
          <a:extLst>
            <a:ext uri="{FF2B5EF4-FFF2-40B4-BE49-F238E27FC236}">
              <a16:creationId xmlns:a16="http://schemas.microsoft.com/office/drawing/2014/main" id="{9E849EE1-EE98-48A6-A8F9-DCB82087E313}"/>
            </a:ext>
          </a:extLst>
        </xdr:cNvPr>
        <xdr:cNvSpPr/>
      </xdr:nvSpPr>
      <xdr:spPr>
        <a:xfrm>
          <a:off x="4328160" y="861060"/>
          <a:ext cx="2340000" cy="868680"/>
        </a:xfrm>
        <a:prstGeom prst="roundRect">
          <a:avLst/>
        </a:prstGeom>
        <a:solidFill>
          <a:srgbClr val="00CC66">
            <a:alpha val="29804"/>
          </a:srgbClr>
        </a:solidFill>
        <a:ln>
          <a:solidFill>
            <a:srgbClr val="0070C0"/>
          </a:solidFill>
        </a:ln>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solidFill>
                <a:schemeClr val="tx1"/>
              </a:solidFill>
              <a:latin typeface="+mj-lt"/>
            </a:rPr>
            <a:t>     </a:t>
          </a:r>
          <a:r>
            <a:rPr lang="en-IN" sz="1200" b="1">
              <a:solidFill>
                <a:schemeClr val="tx1"/>
              </a:solidFill>
              <a:latin typeface="+mj-lt"/>
            </a:rPr>
            <a:t>TOTAL</a:t>
          </a:r>
          <a:r>
            <a:rPr lang="en-IN" sz="1200" b="1" baseline="0">
              <a:solidFill>
                <a:schemeClr val="tx1"/>
              </a:solidFill>
              <a:latin typeface="+mj-lt"/>
            </a:rPr>
            <a:t> TREATMENT COST</a:t>
          </a:r>
          <a:endParaRPr lang="en-IN" sz="1200" b="1">
            <a:solidFill>
              <a:schemeClr val="tx1"/>
            </a:solidFill>
            <a:latin typeface="+mj-lt"/>
          </a:endParaRPr>
        </a:p>
      </xdr:txBody>
    </xdr:sp>
    <xdr:clientData/>
  </xdr:twoCellAnchor>
  <xdr:twoCellAnchor>
    <xdr:from>
      <xdr:col>11</xdr:col>
      <xdr:colOff>129540</xdr:colOff>
      <xdr:row>4</xdr:row>
      <xdr:rowOff>129540</xdr:rowOff>
    </xdr:from>
    <xdr:to>
      <xdr:col>15</xdr:col>
      <xdr:colOff>31140</xdr:colOff>
      <xdr:row>9</xdr:row>
      <xdr:rowOff>91440</xdr:rowOff>
    </xdr:to>
    <xdr:sp macro="" textlink="">
      <xdr:nvSpPr>
        <xdr:cNvPr id="8" name="Rectangle: Rounded Corners 7">
          <a:extLst>
            <a:ext uri="{FF2B5EF4-FFF2-40B4-BE49-F238E27FC236}">
              <a16:creationId xmlns:a16="http://schemas.microsoft.com/office/drawing/2014/main" id="{DD3ACD3A-5955-41C1-BA7B-E5702C0C2B49}"/>
            </a:ext>
          </a:extLst>
        </xdr:cNvPr>
        <xdr:cNvSpPr/>
      </xdr:nvSpPr>
      <xdr:spPr>
        <a:xfrm>
          <a:off x="6835140" y="861060"/>
          <a:ext cx="2340000" cy="876300"/>
        </a:xfrm>
        <a:prstGeom prst="roundRect">
          <a:avLst/>
        </a:prstGeom>
        <a:solidFill>
          <a:srgbClr val="00CC66">
            <a:alpha val="29804"/>
          </a:srgbClr>
        </a:solidFill>
        <a:ln>
          <a:solidFill>
            <a:srgbClr val="0070C0"/>
          </a:solidFill>
        </a:ln>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 </a:t>
          </a:r>
          <a:r>
            <a:rPr lang="en-IN" sz="1200" b="1">
              <a:solidFill>
                <a:schemeClr val="tx1"/>
              </a:solidFill>
              <a:latin typeface="+mj-lt"/>
            </a:rPr>
            <a:t>AVERAGE</a:t>
          </a:r>
          <a:r>
            <a:rPr lang="en-IN" sz="1200" b="1" baseline="0">
              <a:solidFill>
                <a:schemeClr val="tx1"/>
              </a:solidFill>
              <a:latin typeface="+mj-lt"/>
            </a:rPr>
            <a:t> TREATMENT COST</a:t>
          </a:r>
          <a:endParaRPr lang="en-IN" sz="1200" b="1">
            <a:solidFill>
              <a:schemeClr val="tx1"/>
            </a:solidFill>
            <a:latin typeface="+mj-lt"/>
          </a:endParaRPr>
        </a:p>
      </xdr:txBody>
    </xdr:sp>
    <xdr:clientData/>
  </xdr:twoCellAnchor>
  <xdr:twoCellAnchor>
    <xdr:from>
      <xdr:col>15</xdr:col>
      <xdr:colOff>182880</xdr:colOff>
      <xdr:row>4</xdr:row>
      <xdr:rowOff>129540</xdr:rowOff>
    </xdr:from>
    <xdr:to>
      <xdr:col>19</xdr:col>
      <xdr:colOff>84480</xdr:colOff>
      <xdr:row>9</xdr:row>
      <xdr:rowOff>99060</xdr:rowOff>
    </xdr:to>
    <xdr:sp macro="" textlink="">
      <xdr:nvSpPr>
        <xdr:cNvPr id="9" name="Rectangle: Rounded Corners 8">
          <a:extLst>
            <a:ext uri="{FF2B5EF4-FFF2-40B4-BE49-F238E27FC236}">
              <a16:creationId xmlns:a16="http://schemas.microsoft.com/office/drawing/2014/main" id="{1B05324A-A1BE-49B4-AE23-9A82D8B5E1BA}"/>
            </a:ext>
          </a:extLst>
        </xdr:cNvPr>
        <xdr:cNvSpPr/>
      </xdr:nvSpPr>
      <xdr:spPr>
        <a:xfrm>
          <a:off x="9326880" y="861060"/>
          <a:ext cx="2340000" cy="883920"/>
        </a:xfrm>
        <a:prstGeom prst="roundRect">
          <a:avLst/>
        </a:prstGeom>
        <a:solidFill>
          <a:srgbClr val="00CC66">
            <a:alpha val="29804"/>
          </a:srgbClr>
        </a:solidFill>
        <a:ln>
          <a:solidFill>
            <a:srgbClr val="0070C0"/>
          </a:solidFill>
        </a:ln>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     </a:t>
          </a:r>
          <a:r>
            <a:rPr lang="en-IN" sz="1200" b="1">
              <a:solidFill>
                <a:schemeClr val="tx1"/>
              </a:solidFill>
              <a:latin typeface="+mj-lt"/>
            </a:rPr>
            <a:t>AVERAGE</a:t>
          </a:r>
          <a:r>
            <a:rPr lang="en-IN" sz="1200" b="1" baseline="0">
              <a:solidFill>
                <a:schemeClr val="tx1"/>
              </a:solidFill>
              <a:latin typeface="+mj-lt"/>
            </a:rPr>
            <a:t> PATIENT AGE</a:t>
          </a:r>
          <a:endParaRPr lang="en-IN" sz="1200" b="1">
            <a:solidFill>
              <a:schemeClr val="tx1"/>
            </a:solidFill>
            <a:latin typeface="+mj-lt"/>
          </a:endParaRPr>
        </a:p>
      </xdr:txBody>
    </xdr:sp>
    <xdr:clientData/>
  </xdr:twoCellAnchor>
  <xdr:twoCellAnchor>
    <xdr:from>
      <xdr:col>19</xdr:col>
      <xdr:colOff>251460</xdr:colOff>
      <xdr:row>4</xdr:row>
      <xdr:rowOff>129540</xdr:rowOff>
    </xdr:from>
    <xdr:to>
      <xdr:col>23</xdr:col>
      <xdr:colOff>153060</xdr:colOff>
      <xdr:row>9</xdr:row>
      <xdr:rowOff>106680</xdr:rowOff>
    </xdr:to>
    <xdr:sp macro="" textlink="">
      <xdr:nvSpPr>
        <xdr:cNvPr id="10" name="Rectangle: Rounded Corners 9">
          <a:extLst>
            <a:ext uri="{FF2B5EF4-FFF2-40B4-BE49-F238E27FC236}">
              <a16:creationId xmlns:a16="http://schemas.microsoft.com/office/drawing/2014/main" id="{29ECE2AA-C4E6-4C71-BBD9-F254333904FA}"/>
            </a:ext>
          </a:extLst>
        </xdr:cNvPr>
        <xdr:cNvSpPr/>
      </xdr:nvSpPr>
      <xdr:spPr>
        <a:xfrm>
          <a:off x="11833860" y="861060"/>
          <a:ext cx="2340000" cy="891540"/>
        </a:xfrm>
        <a:prstGeom prst="roundRect">
          <a:avLst/>
        </a:prstGeom>
        <a:solidFill>
          <a:srgbClr val="00CC66">
            <a:alpha val="29804"/>
          </a:srgbClr>
        </a:solidFill>
        <a:ln>
          <a:solidFill>
            <a:srgbClr val="0070C0"/>
          </a:solidFill>
        </a:ln>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latin typeface="+mj-lt"/>
            </a:rPr>
            <a:t>       INSURANCE</a:t>
          </a:r>
          <a:r>
            <a:rPr lang="en-IN" sz="1200" b="1" baseline="0">
              <a:solidFill>
                <a:schemeClr val="tx1"/>
              </a:solidFill>
              <a:latin typeface="+mj-lt"/>
            </a:rPr>
            <a:t> COVERAGE</a:t>
          </a:r>
          <a:endParaRPr lang="en-IN" sz="1200" b="1">
            <a:solidFill>
              <a:schemeClr val="tx1"/>
            </a:solidFill>
            <a:latin typeface="+mj-lt"/>
          </a:endParaRPr>
        </a:p>
      </xdr:txBody>
    </xdr:sp>
    <xdr:clientData/>
  </xdr:twoCellAnchor>
  <xdr:twoCellAnchor>
    <xdr:from>
      <xdr:col>3</xdr:col>
      <xdr:colOff>525780</xdr:colOff>
      <xdr:row>6</xdr:row>
      <xdr:rowOff>76200</xdr:rowOff>
    </xdr:from>
    <xdr:to>
      <xdr:col>6</xdr:col>
      <xdr:colOff>144780</xdr:colOff>
      <xdr:row>7</xdr:row>
      <xdr:rowOff>167640</xdr:rowOff>
    </xdr:to>
    <xdr:sp macro="" textlink="Sheet1!B85">
      <xdr:nvSpPr>
        <xdr:cNvPr id="13" name="TextBox 12">
          <a:extLst>
            <a:ext uri="{FF2B5EF4-FFF2-40B4-BE49-F238E27FC236}">
              <a16:creationId xmlns:a16="http://schemas.microsoft.com/office/drawing/2014/main" id="{C37ADD05-8E0C-02B4-32D0-73202318FC5E}"/>
            </a:ext>
          </a:extLst>
        </xdr:cNvPr>
        <xdr:cNvSpPr txBox="1"/>
      </xdr:nvSpPr>
      <xdr:spPr>
        <a:xfrm>
          <a:off x="2354580" y="1173480"/>
          <a:ext cx="1447800" cy="274320"/>
        </a:xfrm>
        <a:prstGeom prst="rect">
          <a:avLst/>
        </a:prstGeom>
        <a:solidFill>
          <a:srgbClr val="00CC99">
            <a:alpha val="1176"/>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13D01C-81CF-44EC-9897-FA9820FC1610}" type="TxLink">
            <a:rPr lang="en-US" sz="1800" b="1" i="0" u="none" strike="noStrike">
              <a:solidFill>
                <a:srgbClr val="000000"/>
              </a:solidFill>
              <a:latin typeface="Calibri"/>
              <a:ea typeface="Calibri"/>
              <a:cs typeface="Calibri"/>
            </a:rPr>
            <a:pPr algn="ctr"/>
            <a:t>1000</a:t>
          </a:fld>
          <a:endParaRPr lang="en-IN" sz="1800" b="1"/>
        </a:p>
      </xdr:txBody>
    </xdr:sp>
    <xdr:clientData/>
  </xdr:twoCellAnchor>
  <xdr:twoCellAnchor editAs="oneCell">
    <xdr:from>
      <xdr:col>0</xdr:col>
      <xdr:colOff>7620</xdr:colOff>
      <xdr:row>4</xdr:row>
      <xdr:rowOff>121921</xdr:rowOff>
    </xdr:from>
    <xdr:to>
      <xdr:col>3</xdr:col>
      <xdr:colOff>0</xdr:colOff>
      <xdr:row>15</xdr:row>
      <xdr:rowOff>60960</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61937A1A-5A97-48C6-8C85-8F0265D34B0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620" y="853441"/>
              <a:ext cx="1821180" cy="1950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15</xdr:row>
      <xdr:rowOff>83820</xdr:rowOff>
    </xdr:from>
    <xdr:to>
      <xdr:col>3</xdr:col>
      <xdr:colOff>0</xdr:colOff>
      <xdr:row>20</xdr:row>
      <xdr:rowOff>68580</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161932D3-5F5E-43C4-A779-4AC25C779E6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620" y="2827020"/>
              <a:ext cx="182118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20</xdr:row>
      <xdr:rowOff>91440</xdr:rowOff>
    </xdr:from>
    <xdr:to>
      <xdr:col>3</xdr:col>
      <xdr:colOff>0</xdr:colOff>
      <xdr:row>31</xdr:row>
      <xdr:rowOff>30480</xdr:rowOff>
    </xdr:to>
    <mc:AlternateContent xmlns:mc="http://schemas.openxmlformats.org/markup-compatibility/2006" xmlns:a14="http://schemas.microsoft.com/office/drawing/2010/main">
      <mc:Choice Requires="a14">
        <xdr:graphicFrame macro="">
          <xdr:nvGraphicFramePr>
            <xdr:cNvPr id="16" name="Diagnosis 1">
              <a:extLst>
                <a:ext uri="{FF2B5EF4-FFF2-40B4-BE49-F238E27FC236}">
                  <a16:creationId xmlns:a16="http://schemas.microsoft.com/office/drawing/2014/main" id="{21BBCC07-A80B-4951-9F0C-F1D37071CA5D}"/>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7620" y="3749040"/>
              <a:ext cx="182118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31</xdr:row>
      <xdr:rowOff>53340</xdr:rowOff>
    </xdr:from>
    <xdr:to>
      <xdr:col>3</xdr:col>
      <xdr:colOff>7620</xdr:colOff>
      <xdr:row>36</xdr:row>
      <xdr:rowOff>22860</xdr:rowOff>
    </xdr:to>
    <mc:AlternateContent xmlns:mc="http://schemas.openxmlformats.org/markup-compatibility/2006" xmlns:a14="http://schemas.microsoft.com/office/drawing/2010/main">
      <mc:Choice Requires="a14">
        <xdr:graphicFrame macro="">
          <xdr:nvGraphicFramePr>
            <xdr:cNvPr id="17" name="Insurance 1">
              <a:extLst>
                <a:ext uri="{FF2B5EF4-FFF2-40B4-BE49-F238E27FC236}">
                  <a16:creationId xmlns:a16="http://schemas.microsoft.com/office/drawing/2014/main" id="{AE4F36D0-2C47-4079-90AB-6EB6F787D046}"/>
                </a:ext>
              </a:extLst>
            </xdr:cNvPr>
            <xdr:cNvGraphicFramePr/>
          </xdr:nvGraphicFramePr>
          <xdr:xfrm>
            <a:off x="0" y="0"/>
            <a:ext cx="0" cy="0"/>
          </xdr:xfrm>
          <a:graphic>
            <a:graphicData uri="http://schemas.microsoft.com/office/drawing/2010/slicer">
              <sle:slicer xmlns:sle="http://schemas.microsoft.com/office/drawing/2010/slicer" name="Insurance 1"/>
            </a:graphicData>
          </a:graphic>
        </xdr:graphicFrame>
      </mc:Choice>
      <mc:Fallback xmlns="">
        <xdr:sp macro="" textlink="">
          <xdr:nvSpPr>
            <xdr:cNvPr id="0" name=""/>
            <xdr:cNvSpPr>
              <a:spLocks noTextEdit="1"/>
            </xdr:cNvSpPr>
          </xdr:nvSpPr>
          <xdr:spPr>
            <a:xfrm>
              <a:off x="7620" y="5722620"/>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36</xdr:row>
      <xdr:rowOff>53340</xdr:rowOff>
    </xdr:from>
    <xdr:to>
      <xdr:col>3</xdr:col>
      <xdr:colOff>0</xdr:colOff>
      <xdr:row>47</xdr:row>
      <xdr:rowOff>7620</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4A2D809E-FAA1-4FF0-B108-B4CF207239F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620" y="6637020"/>
              <a:ext cx="182118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5</xdr:row>
      <xdr:rowOff>152400</xdr:rowOff>
    </xdr:from>
    <xdr:to>
      <xdr:col>4</xdr:col>
      <xdr:colOff>129540</xdr:colOff>
      <xdr:row>8</xdr:row>
      <xdr:rowOff>152400</xdr:rowOff>
    </xdr:to>
    <xdr:pic>
      <xdr:nvPicPr>
        <xdr:cNvPr id="20" name="Graphic 19" descr="Users with solid fill">
          <a:extLst>
            <a:ext uri="{FF2B5EF4-FFF2-40B4-BE49-F238E27FC236}">
              <a16:creationId xmlns:a16="http://schemas.microsoft.com/office/drawing/2014/main" id="{7ED4778B-8372-0F17-6AFC-AF4347AD52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19300" y="1066800"/>
          <a:ext cx="548640" cy="548640"/>
        </a:xfrm>
        <a:prstGeom prst="rect">
          <a:avLst/>
        </a:prstGeom>
      </xdr:spPr>
    </xdr:pic>
    <xdr:clientData/>
  </xdr:twoCellAnchor>
  <xdr:twoCellAnchor>
    <xdr:from>
      <xdr:col>8</xdr:col>
      <xdr:colOff>38100</xdr:colOff>
      <xdr:row>6</xdr:row>
      <xdr:rowOff>76200</xdr:rowOff>
    </xdr:from>
    <xdr:to>
      <xdr:col>10</xdr:col>
      <xdr:colOff>335280</xdr:colOff>
      <xdr:row>8</xdr:row>
      <xdr:rowOff>30480</xdr:rowOff>
    </xdr:to>
    <xdr:sp macro="" textlink="Sheet1!B88">
      <xdr:nvSpPr>
        <xdr:cNvPr id="21" name="TextBox 20">
          <a:extLst>
            <a:ext uri="{FF2B5EF4-FFF2-40B4-BE49-F238E27FC236}">
              <a16:creationId xmlns:a16="http://schemas.microsoft.com/office/drawing/2014/main" id="{D75F84B6-A11C-6A02-A514-5BD5699AC3FB}"/>
            </a:ext>
          </a:extLst>
        </xdr:cNvPr>
        <xdr:cNvSpPr txBox="1"/>
      </xdr:nvSpPr>
      <xdr:spPr>
        <a:xfrm>
          <a:off x="4914900" y="1173480"/>
          <a:ext cx="1516380" cy="320040"/>
        </a:xfrm>
        <a:prstGeom prst="rect">
          <a:avLst/>
        </a:prstGeom>
        <a:solidFill>
          <a:srgbClr val="00CC99">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DA6E75-21E7-44C9-A46C-D211D2A5609D}" type="TxLink">
            <a:rPr lang="en-US" sz="1800" b="1" i="0" u="none" strike="noStrike">
              <a:solidFill>
                <a:schemeClr val="tx1"/>
              </a:solidFill>
              <a:latin typeface="Calibri"/>
              <a:ea typeface="Calibri"/>
              <a:cs typeface="Calibri"/>
            </a:rPr>
            <a:pPr/>
            <a:t>76191351.94</a:t>
          </a:fld>
          <a:endParaRPr lang="en-IN" sz="1800" b="1">
            <a:solidFill>
              <a:schemeClr val="tx1"/>
            </a:solidFill>
          </a:endParaRPr>
        </a:p>
      </xdr:txBody>
    </xdr:sp>
    <xdr:clientData/>
  </xdr:twoCellAnchor>
  <xdr:twoCellAnchor editAs="oneCell">
    <xdr:from>
      <xdr:col>7</xdr:col>
      <xdr:colOff>114300</xdr:colOff>
      <xdr:row>6</xdr:row>
      <xdr:rowOff>7620</xdr:rowOff>
    </xdr:from>
    <xdr:to>
      <xdr:col>7</xdr:col>
      <xdr:colOff>571500</xdr:colOff>
      <xdr:row>8</xdr:row>
      <xdr:rowOff>99060</xdr:rowOff>
    </xdr:to>
    <xdr:pic>
      <xdr:nvPicPr>
        <xdr:cNvPr id="23" name="Graphic 22" descr="Dollar with solid fill">
          <a:extLst>
            <a:ext uri="{FF2B5EF4-FFF2-40B4-BE49-F238E27FC236}">
              <a16:creationId xmlns:a16="http://schemas.microsoft.com/office/drawing/2014/main" id="{ED288936-544D-8967-F821-4084774B47C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81500" y="1104900"/>
          <a:ext cx="457200" cy="457200"/>
        </a:xfrm>
        <a:prstGeom prst="rect">
          <a:avLst/>
        </a:prstGeom>
      </xdr:spPr>
    </xdr:pic>
    <xdr:clientData/>
  </xdr:twoCellAnchor>
  <xdr:twoCellAnchor>
    <xdr:from>
      <xdr:col>12</xdr:col>
      <xdr:colOff>198120</xdr:colOff>
      <xdr:row>6</xdr:row>
      <xdr:rowOff>114300</xdr:rowOff>
    </xdr:from>
    <xdr:to>
      <xdr:col>14</xdr:col>
      <xdr:colOff>510540</xdr:colOff>
      <xdr:row>8</xdr:row>
      <xdr:rowOff>76200</xdr:rowOff>
    </xdr:to>
    <xdr:sp macro="" textlink="Sheet1!B91">
      <xdr:nvSpPr>
        <xdr:cNvPr id="24" name="TextBox 23">
          <a:extLst>
            <a:ext uri="{FF2B5EF4-FFF2-40B4-BE49-F238E27FC236}">
              <a16:creationId xmlns:a16="http://schemas.microsoft.com/office/drawing/2014/main" id="{A4DE3F25-76A4-6FFC-95FB-FA443D63E945}"/>
            </a:ext>
          </a:extLst>
        </xdr:cNvPr>
        <xdr:cNvSpPr txBox="1"/>
      </xdr:nvSpPr>
      <xdr:spPr>
        <a:xfrm>
          <a:off x="7513320" y="1211580"/>
          <a:ext cx="1531620" cy="327660"/>
        </a:xfrm>
        <a:prstGeom prst="rect">
          <a:avLst/>
        </a:prstGeom>
        <a:solidFill>
          <a:srgbClr val="00CC00">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2DA6FF-3264-4E15-B39D-A1B3F6C3D01E}" type="TxLink">
            <a:rPr lang="en-US" sz="1800" b="1" i="0" u="none" strike="noStrike">
              <a:solidFill>
                <a:schemeClr val="tx1"/>
              </a:solidFill>
              <a:latin typeface="Calibri"/>
              <a:ea typeface="Calibri"/>
              <a:cs typeface="Calibri"/>
            </a:rPr>
            <a:pPr/>
            <a:t>76191.35194</a:t>
          </a:fld>
          <a:endParaRPr lang="en-IN" sz="1800" b="1">
            <a:solidFill>
              <a:schemeClr val="tx1"/>
            </a:solidFill>
          </a:endParaRPr>
        </a:p>
      </xdr:txBody>
    </xdr:sp>
    <xdr:clientData/>
  </xdr:twoCellAnchor>
  <xdr:twoCellAnchor editAs="oneCell">
    <xdr:from>
      <xdr:col>11</xdr:col>
      <xdr:colOff>228600</xdr:colOff>
      <xdr:row>6</xdr:row>
      <xdr:rowOff>0</xdr:rowOff>
    </xdr:from>
    <xdr:to>
      <xdr:col>12</xdr:col>
      <xdr:colOff>129540</xdr:colOff>
      <xdr:row>8</xdr:row>
      <xdr:rowOff>129540</xdr:rowOff>
    </xdr:to>
    <xdr:pic>
      <xdr:nvPicPr>
        <xdr:cNvPr id="26" name="Graphic 25" descr="Bar chart with solid fill">
          <a:extLst>
            <a:ext uri="{FF2B5EF4-FFF2-40B4-BE49-F238E27FC236}">
              <a16:creationId xmlns:a16="http://schemas.microsoft.com/office/drawing/2014/main" id="{5E942CC9-F80E-D003-F396-FB8B6F3BD0E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34200" y="1097280"/>
          <a:ext cx="510540" cy="495300"/>
        </a:xfrm>
        <a:prstGeom prst="rect">
          <a:avLst/>
        </a:prstGeom>
      </xdr:spPr>
    </xdr:pic>
    <xdr:clientData/>
  </xdr:twoCellAnchor>
  <xdr:twoCellAnchor>
    <xdr:from>
      <xdr:col>20</xdr:col>
      <xdr:colOff>205740</xdr:colOff>
      <xdr:row>6</xdr:row>
      <xdr:rowOff>106680</xdr:rowOff>
    </xdr:from>
    <xdr:to>
      <xdr:col>22</xdr:col>
      <xdr:colOff>464820</xdr:colOff>
      <xdr:row>8</xdr:row>
      <xdr:rowOff>22860</xdr:rowOff>
    </xdr:to>
    <xdr:sp macro="" textlink="Sheet1!C96">
      <xdr:nvSpPr>
        <xdr:cNvPr id="27" name="TextBox 26">
          <a:extLst>
            <a:ext uri="{FF2B5EF4-FFF2-40B4-BE49-F238E27FC236}">
              <a16:creationId xmlns:a16="http://schemas.microsoft.com/office/drawing/2014/main" id="{70AD7BBB-7FE3-21FB-AB4B-00D06D26AAB6}"/>
            </a:ext>
          </a:extLst>
        </xdr:cNvPr>
        <xdr:cNvSpPr txBox="1"/>
      </xdr:nvSpPr>
      <xdr:spPr>
        <a:xfrm>
          <a:off x="12397740" y="1203960"/>
          <a:ext cx="1478280" cy="281940"/>
        </a:xfrm>
        <a:prstGeom prst="rect">
          <a:avLst/>
        </a:prstGeom>
        <a:solidFill>
          <a:srgbClr val="00CC99">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D7EC26-C657-455F-8879-D87AA320BA68}" type="TxLink">
            <a:rPr lang="en-US" sz="1800" b="1" i="0" u="none" strike="noStrike">
              <a:solidFill>
                <a:schemeClr val="tx1"/>
              </a:solidFill>
              <a:latin typeface="Calibri"/>
              <a:ea typeface="Calibri"/>
              <a:cs typeface="Calibri"/>
            </a:rPr>
            <a:pPr algn="ctr"/>
            <a:t>47%</a:t>
          </a:fld>
          <a:endParaRPr lang="en-IN" sz="1800" b="1">
            <a:solidFill>
              <a:schemeClr val="tx1"/>
            </a:solidFill>
          </a:endParaRPr>
        </a:p>
      </xdr:txBody>
    </xdr:sp>
    <xdr:clientData/>
  </xdr:twoCellAnchor>
  <xdr:twoCellAnchor editAs="oneCell">
    <xdr:from>
      <xdr:col>19</xdr:col>
      <xdr:colOff>457200</xdr:colOff>
      <xdr:row>6</xdr:row>
      <xdr:rowOff>15240</xdr:rowOff>
    </xdr:from>
    <xdr:to>
      <xdr:col>20</xdr:col>
      <xdr:colOff>396240</xdr:colOff>
      <xdr:row>9</xdr:row>
      <xdr:rowOff>22860</xdr:rowOff>
    </xdr:to>
    <xdr:pic>
      <xdr:nvPicPr>
        <xdr:cNvPr id="29" name="Graphic 28" descr="Handshake with solid fill">
          <a:extLst>
            <a:ext uri="{FF2B5EF4-FFF2-40B4-BE49-F238E27FC236}">
              <a16:creationId xmlns:a16="http://schemas.microsoft.com/office/drawing/2014/main" id="{5856ED5C-B6C5-B570-DC80-A28D6F98143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039600" y="1112520"/>
          <a:ext cx="548640" cy="556260"/>
        </a:xfrm>
        <a:prstGeom prst="rect">
          <a:avLst/>
        </a:prstGeom>
      </xdr:spPr>
    </xdr:pic>
    <xdr:clientData/>
  </xdr:twoCellAnchor>
  <xdr:twoCellAnchor>
    <xdr:from>
      <xdr:col>16</xdr:col>
      <xdr:colOff>525780</xdr:colOff>
      <xdr:row>6</xdr:row>
      <xdr:rowOff>114300</xdr:rowOff>
    </xdr:from>
    <xdr:to>
      <xdr:col>18</xdr:col>
      <xdr:colOff>495300</xdr:colOff>
      <xdr:row>8</xdr:row>
      <xdr:rowOff>22860</xdr:rowOff>
    </xdr:to>
    <xdr:sp macro="" textlink="Sheet1!B100">
      <xdr:nvSpPr>
        <xdr:cNvPr id="30" name="TextBox 29">
          <a:extLst>
            <a:ext uri="{FF2B5EF4-FFF2-40B4-BE49-F238E27FC236}">
              <a16:creationId xmlns:a16="http://schemas.microsoft.com/office/drawing/2014/main" id="{03121A1C-5B78-D684-0D0B-DC506F18D7D0}"/>
            </a:ext>
          </a:extLst>
        </xdr:cNvPr>
        <xdr:cNvSpPr txBox="1"/>
      </xdr:nvSpPr>
      <xdr:spPr>
        <a:xfrm>
          <a:off x="10279380" y="1211580"/>
          <a:ext cx="1188720" cy="274320"/>
        </a:xfrm>
        <a:prstGeom prst="rect">
          <a:avLst/>
        </a:prstGeom>
        <a:solidFill>
          <a:srgbClr val="00CC99">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FB74DE-4F79-4120-8C13-0818FC64DF89}" type="TxLink">
            <a:rPr lang="en-US" sz="1800" b="1" i="0" u="none" strike="noStrike">
              <a:solidFill>
                <a:schemeClr val="tx1"/>
              </a:solidFill>
              <a:latin typeface="Calibri"/>
              <a:ea typeface="Calibri"/>
              <a:cs typeface="Calibri"/>
            </a:rPr>
            <a:pPr/>
            <a:t>46</a:t>
          </a:fld>
          <a:endParaRPr lang="en-IN" sz="1800" b="1">
            <a:solidFill>
              <a:schemeClr val="tx1"/>
            </a:solidFill>
          </a:endParaRPr>
        </a:p>
      </xdr:txBody>
    </xdr:sp>
    <xdr:clientData/>
  </xdr:twoCellAnchor>
  <xdr:twoCellAnchor editAs="oneCell">
    <xdr:from>
      <xdr:col>15</xdr:col>
      <xdr:colOff>335280</xdr:colOff>
      <xdr:row>5</xdr:row>
      <xdr:rowOff>175260</xdr:rowOff>
    </xdr:from>
    <xdr:to>
      <xdr:col>16</xdr:col>
      <xdr:colOff>213360</xdr:colOff>
      <xdr:row>8</xdr:row>
      <xdr:rowOff>129540</xdr:rowOff>
    </xdr:to>
    <xdr:pic>
      <xdr:nvPicPr>
        <xdr:cNvPr id="32" name="Graphic 31" descr="User with solid fill">
          <a:extLst>
            <a:ext uri="{FF2B5EF4-FFF2-40B4-BE49-F238E27FC236}">
              <a16:creationId xmlns:a16="http://schemas.microsoft.com/office/drawing/2014/main" id="{6AF3D313-2A46-0724-3E29-54EDA55EC79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479280" y="1089660"/>
          <a:ext cx="487680" cy="502920"/>
        </a:xfrm>
        <a:prstGeom prst="rect">
          <a:avLst/>
        </a:prstGeom>
      </xdr:spPr>
    </xdr:pic>
    <xdr:clientData/>
  </xdr:twoCellAnchor>
  <xdr:twoCellAnchor>
    <xdr:from>
      <xdr:col>3</xdr:col>
      <xdr:colOff>7620</xdr:colOff>
      <xdr:row>9</xdr:row>
      <xdr:rowOff>137160</xdr:rowOff>
    </xdr:from>
    <xdr:to>
      <xdr:col>9</xdr:col>
      <xdr:colOff>358140</xdr:colOff>
      <xdr:row>27</xdr:row>
      <xdr:rowOff>175260</xdr:rowOff>
    </xdr:to>
    <xdr:graphicFrame macro="">
      <xdr:nvGraphicFramePr>
        <xdr:cNvPr id="33" name="Chart 32">
          <a:extLst>
            <a:ext uri="{FF2B5EF4-FFF2-40B4-BE49-F238E27FC236}">
              <a16:creationId xmlns:a16="http://schemas.microsoft.com/office/drawing/2014/main" id="{83AA4A3F-1B29-4E21-A422-7EB065152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403860</xdr:colOff>
      <xdr:row>9</xdr:row>
      <xdr:rowOff>137160</xdr:rowOff>
    </xdr:from>
    <xdr:to>
      <xdr:col>16</xdr:col>
      <xdr:colOff>388620</xdr:colOff>
      <xdr:row>28</xdr:row>
      <xdr:rowOff>0</xdr:rowOff>
    </xdr:to>
    <xdr:graphicFrame macro="">
      <xdr:nvGraphicFramePr>
        <xdr:cNvPr id="34" name="Chart 33">
          <a:extLst>
            <a:ext uri="{FF2B5EF4-FFF2-40B4-BE49-F238E27FC236}">
              <a16:creationId xmlns:a16="http://schemas.microsoft.com/office/drawing/2014/main" id="{56FA308E-A36F-4BFA-9002-EF4A81B6E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426720</xdr:colOff>
      <xdr:row>9</xdr:row>
      <xdr:rowOff>137160</xdr:rowOff>
    </xdr:from>
    <xdr:to>
      <xdr:col>23</xdr:col>
      <xdr:colOff>144780</xdr:colOff>
      <xdr:row>28</xdr:row>
      <xdr:rowOff>0</xdr:rowOff>
    </xdr:to>
    <xdr:graphicFrame macro="">
      <xdr:nvGraphicFramePr>
        <xdr:cNvPr id="35" name="Chart 34">
          <a:extLst>
            <a:ext uri="{FF2B5EF4-FFF2-40B4-BE49-F238E27FC236}">
              <a16:creationId xmlns:a16="http://schemas.microsoft.com/office/drawing/2014/main" id="{87583151-13CA-44BF-B8BC-2139C5139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7620</xdr:colOff>
      <xdr:row>28</xdr:row>
      <xdr:rowOff>144780</xdr:rowOff>
    </xdr:from>
    <xdr:to>
      <xdr:col>9</xdr:col>
      <xdr:colOff>358140</xdr:colOff>
      <xdr:row>47</xdr:row>
      <xdr:rowOff>60</xdr:rowOff>
    </xdr:to>
    <xdr:graphicFrame macro="">
      <xdr:nvGraphicFramePr>
        <xdr:cNvPr id="36" name="Chart 35">
          <a:extLst>
            <a:ext uri="{FF2B5EF4-FFF2-40B4-BE49-F238E27FC236}">
              <a16:creationId xmlns:a16="http://schemas.microsoft.com/office/drawing/2014/main" id="{37F10BCF-8FB2-467B-B43A-362ABD561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403860</xdr:colOff>
      <xdr:row>28</xdr:row>
      <xdr:rowOff>144780</xdr:rowOff>
    </xdr:from>
    <xdr:to>
      <xdr:col>16</xdr:col>
      <xdr:colOff>388620</xdr:colOff>
      <xdr:row>47</xdr:row>
      <xdr:rowOff>0</xdr:rowOff>
    </xdr:to>
    <xdr:graphicFrame macro="">
      <xdr:nvGraphicFramePr>
        <xdr:cNvPr id="37" name="Chart 36">
          <a:extLst>
            <a:ext uri="{FF2B5EF4-FFF2-40B4-BE49-F238E27FC236}">
              <a16:creationId xmlns:a16="http://schemas.microsoft.com/office/drawing/2014/main" id="{A7B838C3-ECA8-4958-8118-89EED5096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426720</xdr:colOff>
      <xdr:row>28</xdr:row>
      <xdr:rowOff>144780</xdr:rowOff>
    </xdr:from>
    <xdr:to>
      <xdr:col>23</xdr:col>
      <xdr:colOff>144720</xdr:colOff>
      <xdr:row>47</xdr:row>
      <xdr:rowOff>0</xdr:rowOff>
    </xdr:to>
    <xdr:graphicFrame macro="">
      <xdr:nvGraphicFramePr>
        <xdr:cNvPr id="38" name="Chart 37">
          <a:extLst>
            <a:ext uri="{FF2B5EF4-FFF2-40B4-BE49-F238E27FC236}">
              <a16:creationId xmlns:a16="http://schemas.microsoft.com/office/drawing/2014/main" id="{7F883A9F-3EE0-4647-9AC3-BD8257BE9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441960</xdr:colOff>
      <xdr:row>9</xdr:row>
      <xdr:rowOff>152400</xdr:rowOff>
    </xdr:from>
    <xdr:to>
      <xdr:col>23</xdr:col>
      <xdr:colOff>129540</xdr:colOff>
      <xdr:row>12</xdr:row>
      <xdr:rowOff>144780</xdr:rowOff>
    </xdr:to>
    <xdr:sp macro="" textlink="">
      <xdr:nvSpPr>
        <xdr:cNvPr id="39" name="Rectangle: Rounded Corners 38">
          <a:extLst>
            <a:ext uri="{FF2B5EF4-FFF2-40B4-BE49-F238E27FC236}">
              <a16:creationId xmlns:a16="http://schemas.microsoft.com/office/drawing/2014/main" id="{FD189563-588D-2FED-678E-6554DC514399}"/>
            </a:ext>
          </a:extLst>
        </xdr:cNvPr>
        <xdr:cNvSpPr/>
      </xdr:nvSpPr>
      <xdr:spPr>
        <a:xfrm>
          <a:off x="10195560" y="1798320"/>
          <a:ext cx="3954780" cy="541020"/>
        </a:xfrm>
        <a:prstGeom prst="roundRect">
          <a:avLst/>
        </a:prstGeom>
        <a:solidFill>
          <a:srgbClr val="3366CC">
            <a:alpha val="98039"/>
          </a:srgb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mj-lt"/>
            </a:rPr>
            <a:t>DIAGNOSIS-WISE PATIENT DISTRIBUTION</a:t>
          </a:r>
        </a:p>
      </xdr:txBody>
    </xdr:sp>
    <xdr:clientData/>
  </xdr:twoCellAnchor>
  <xdr:twoCellAnchor>
    <xdr:from>
      <xdr:col>3</xdr:col>
      <xdr:colOff>22860</xdr:colOff>
      <xdr:row>28</xdr:row>
      <xdr:rowOff>160020</xdr:rowOff>
    </xdr:from>
    <xdr:to>
      <xdr:col>9</xdr:col>
      <xdr:colOff>342900</xdr:colOff>
      <xdr:row>31</xdr:row>
      <xdr:rowOff>151380</xdr:rowOff>
    </xdr:to>
    <xdr:sp macro="" textlink="">
      <xdr:nvSpPr>
        <xdr:cNvPr id="40" name="Rectangle: Rounded Corners 39">
          <a:extLst>
            <a:ext uri="{FF2B5EF4-FFF2-40B4-BE49-F238E27FC236}">
              <a16:creationId xmlns:a16="http://schemas.microsoft.com/office/drawing/2014/main" id="{93A51622-2519-A1D5-2239-815265DC3CCC}"/>
            </a:ext>
          </a:extLst>
        </xdr:cNvPr>
        <xdr:cNvSpPr/>
      </xdr:nvSpPr>
      <xdr:spPr>
        <a:xfrm>
          <a:off x="1851660" y="5280660"/>
          <a:ext cx="3977640" cy="540000"/>
        </a:xfrm>
        <a:prstGeom prst="roundRect">
          <a:avLst/>
        </a:prstGeom>
        <a:solidFill>
          <a:srgbClr val="3366CC">
            <a:alpha val="98039"/>
          </a:srgb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mj-lt"/>
            </a:rPr>
            <a:t>AVERAGE TREATMENT COST BY DEPARTMENT</a:t>
          </a:r>
        </a:p>
      </xdr:txBody>
    </xdr:sp>
    <xdr:clientData/>
  </xdr:twoCellAnchor>
  <xdr:twoCellAnchor>
    <xdr:from>
      <xdr:col>11</xdr:col>
      <xdr:colOff>495300</xdr:colOff>
      <xdr:row>38</xdr:row>
      <xdr:rowOff>83820</xdr:rowOff>
    </xdr:from>
    <xdr:to>
      <xdr:col>14</xdr:col>
      <xdr:colOff>99060</xdr:colOff>
      <xdr:row>39</xdr:row>
      <xdr:rowOff>152400</xdr:rowOff>
    </xdr:to>
    <xdr:sp macro="" textlink="">
      <xdr:nvSpPr>
        <xdr:cNvPr id="3" name="TextBox 2">
          <a:extLst>
            <a:ext uri="{FF2B5EF4-FFF2-40B4-BE49-F238E27FC236}">
              <a16:creationId xmlns:a16="http://schemas.microsoft.com/office/drawing/2014/main" id="{148A43D9-884D-85D5-3F1E-AAE6C32FCFED}"/>
            </a:ext>
          </a:extLst>
        </xdr:cNvPr>
        <xdr:cNvSpPr txBox="1"/>
      </xdr:nvSpPr>
      <xdr:spPr>
        <a:xfrm>
          <a:off x="7200900" y="7033260"/>
          <a:ext cx="14325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PATIENTS</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0.00474</cdr:y>
    </cdr:from>
    <cdr:to>
      <cdr:x>0.9962</cdr:x>
      <cdr:y>0.17303</cdr:y>
    </cdr:to>
    <cdr:sp macro="" textlink="">
      <cdr:nvSpPr>
        <cdr:cNvPr id="2" name="Rectangle: Rounded Corners 1">
          <a:extLst xmlns:a="http://schemas.openxmlformats.org/drawingml/2006/main">
            <a:ext uri="{FF2B5EF4-FFF2-40B4-BE49-F238E27FC236}">
              <a16:creationId xmlns:a16="http://schemas.microsoft.com/office/drawing/2014/main" id="{58C98FCA-740F-9FE6-88F1-3452E3014CC8}"/>
            </a:ext>
          </a:extLst>
        </cdr:cNvPr>
        <cdr:cNvSpPr/>
      </cdr:nvSpPr>
      <cdr:spPr>
        <a:xfrm xmlns:a="http://schemas.openxmlformats.org/drawingml/2006/main">
          <a:off x="0" y="15240"/>
          <a:ext cx="3992880" cy="541020"/>
        </a:xfrm>
        <a:prstGeom xmlns:a="http://schemas.openxmlformats.org/drawingml/2006/main" prst="roundRect">
          <a:avLst/>
        </a:prstGeom>
        <a:solidFill xmlns:a="http://schemas.openxmlformats.org/drawingml/2006/main">
          <a:srgbClr val="3366CC">
            <a:alpha val="98039"/>
          </a:srgbClr>
        </a:solidFill>
        <a:ln xmlns:a="http://schemas.openxmlformats.org/drawingml/2006/main">
          <a:solidFill>
            <a:schemeClr val="tx1"/>
          </a:solidFill>
        </a:ln>
        <a:effectLst xmlns:a="http://schemas.openxmlformats.org/drawingml/2006/main">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sz="1400" b="0" kern="1200">
              <a:latin typeface="+mj-lt"/>
            </a:rPr>
            <a:t>GENDER DISTRIBUTION</a:t>
          </a:r>
        </a:p>
      </cdr:txBody>
    </cdr:sp>
  </cdr:relSizeAnchor>
</c:userShapes>
</file>

<file path=xl/drawings/drawing4.xml><?xml version="1.0" encoding="utf-8"?>
<c:userShapes xmlns:c="http://schemas.openxmlformats.org/drawingml/2006/chart">
  <cdr:relSizeAnchor xmlns:cdr="http://schemas.openxmlformats.org/drawingml/2006/chartDrawing">
    <cdr:from>
      <cdr:x>0.0036</cdr:x>
      <cdr:y>0.00474</cdr:y>
    </cdr:from>
    <cdr:to>
      <cdr:x>0.9964</cdr:x>
      <cdr:y>0.17062</cdr:y>
    </cdr:to>
    <cdr:sp macro="" textlink="">
      <cdr:nvSpPr>
        <cdr:cNvPr id="2" name="Rectangle: Rounded Corners 1">
          <a:extLst xmlns:a="http://schemas.openxmlformats.org/drawingml/2006/main">
            <a:ext uri="{FF2B5EF4-FFF2-40B4-BE49-F238E27FC236}">
              <a16:creationId xmlns:a16="http://schemas.microsoft.com/office/drawing/2014/main" id="{AEE2887E-E30E-7987-1941-3DFBA9FF390C}"/>
            </a:ext>
          </a:extLst>
        </cdr:cNvPr>
        <cdr:cNvSpPr/>
      </cdr:nvSpPr>
      <cdr:spPr>
        <a:xfrm xmlns:a="http://schemas.openxmlformats.org/drawingml/2006/main">
          <a:off x="15240" y="15240"/>
          <a:ext cx="4206240" cy="533400"/>
        </a:xfrm>
        <a:prstGeom xmlns:a="http://schemas.openxmlformats.org/drawingml/2006/main" prst="roundRect">
          <a:avLst/>
        </a:prstGeom>
        <a:solidFill xmlns:a="http://schemas.openxmlformats.org/drawingml/2006/main">
          <a:srgbClr val="3366CC">
            <a:alpha val="97647"/>
          </a:srgbClr>
        </a:solidFill>
        <a:effectLst xmlns:a="http://schemas.openxmlformats.org/drawingml/2006/main">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sz="1400" b="0" kern="1200">
              <a:latin typeface="+mj-lt"/>
            </a:rPr>
            <a:t>PATIENT COUNT</a:t>
          </a:r>
          <a:r>
            <a:rPr lang="en-IN" sz="1400" b="0" kern="1200" baseline="0">
              <a:latin typeface="+mj-lt"/>
            </a:rPr>
            <a:t> BT DEPARTMENT</a:t>
          </a:r>
          <a:endParaRPr lang="en-IN" sz="1400" b="0" kern="1200">
            <a:latin typeface="+mj-l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0.00299</cdr:x>
      <cdr:y>0.00395</cdr:y>
    </cdr:from>
    <cdr:to>
      <cdr:x>0.99642</cdr:x>
      <cdr:y>0.17188</cdr:y>
    </cdr:to>
    <cdr:sp macro="" textlink="">
      <cdr:nvSpPr>
        <cdr:cNvPr id="2" name="Rectangle: Rounded Corners 1">
          <a:extLst xmlns:a="http://schemas.openxmlformats.org/drawingml/2006/main">
            <a:ext uri="{FF2B5EF4-FFF2-40B4-BE49-F238E27FC236}">
              <a16:creationId xmlns:a16="http://schemas.microsoft.com/office/drawing/2014/main" id="{93A51622-2519-A1D5-2239-815265DC3CCC}"/>
            </a:ext>
          </a:extLst>
        </cdr:cNvPr>
        <cdr:cNvSpPr/>
      </cdr:nvSpPr>
      <cdr:spPr>
        <a:xfrm xmlns:a="http://schemas.openxmlformats.org/drawingml/2006/main">
          <a:off x="12700" y="12700"/>
          <a:ext cx="4224020" cy="540000"/>
        </a:xfrm>
        <a:prstGeom xmlns:a="http://schemas.openxmlformats.org/drawingml/2006/main" prst="roundRect">
          <a:avLst/>
        </a:prstGeom>
        <a:solidFill xmlns:a="http://schemas.openxmlformats.org/drawingml/2006/main">
          <a:srgbClr val="3366CC">
            <a:alpha val="98039"/>
          </a:srgbClr>
        </a:solidFill>
        <a:effectLst xmlns:a="http://schemas.openxmlformats.org/drawingml/2006/main">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a:latin typeface="+mj-lt"/>
            </a:rPr>
            <a:t>PATIENT</a:t>
          </a:r>
          <a:r>
            <a:rPr lang="en-IN" sz="1400" baseline="0">
              <a:latin typeface="+mj-lt"/>
            </a:rPr>
            <a:t> DISTRIBUTION BY INSURANCE STATUS</a:t>
          </a:r>
          <a:endParaRPr lang="en-IN" sz="1400">
            <a:latin typeface="+mj-lt"/>
          </a:endParaRPr>
        </a:p>
      </cdr:txBody>
    </cdr:sp>
  </cdr:relSizeAnchor>
  <cdr:relSizeAnchor xmlns:cdr="http://schemas.openxmlformats.org/drawingml/2006/chartDrawing">
    <cdr:from>
      <cdr:x>0.36559</cdr:x>
      <cdr:y>0.60641</cdr:y>
    </cdr:from>
    <cdr:to>
      <cdr:x>0.58961</cdr:x>
      <cdr:y>0.69565</cdr:y>
    </cdr:to>
    <cdr:sp macro="" textlink="Sheet1!$B$85">
      <cdr:nvSpPr>
        <cdr:cNvPr id="3" name="TextBox 2">
          <a:extLst xmlns:a="http://schemas.openxmlformats.org/drawingml/2006/main">
            <a:ext uri="{FF2B5EF4-FFF2-40B4-BE49-F238E27FC236}">
              <a16:creationId xmlns:a16="http://schemas.microsoft.com/office/drawing/2014/main" id="{70D4784B-A4AF-B6B4-43D3-3344F457F42D}"/>
            </a:ext>
          </a:extLst>
        </cdr:cNvPr>
        <cdr:cNvSpPr txBox="1"/>
      </cdr:nvSpPr>
      <cdr:spPr>
        <a:xfrm xmlns:a="http://schemas.openxmlformats.org/drawingml/2006/main">
          <a:off x="1554480" y="2019300"/>
          <a:ext cx="952500" cy="2971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FE0D5DD5-BF46-40BD-8A68-ACCA8FCB8192}" type="TxLink">
            <a:rPr lang="en-US" sz="1600" b="1" i="0" u="none" strike="noStrike" kern="1200">
              <a:solidFill>
                <a:srgbClr val="000000"/>
              </a:solidFill>
              <a:latin typeface="Calibri"/>
              <a:ea typeface="Calibri"/>
              <a:cs typeface="Calibri"/>
            </a:rPr>
            <a:pPr algn="ctr"/>
            <a:t>1000</a:t>
          </a:fld>
          <a:endParaRPr lang="en-IN" sz="1600" b="1" kern="1200"/>
        </a:p>
      </cdr:txBody>
    </cdr:sp>
  </cdr:relSizeAnchor>
</c:userShapes>
</file>

<file path=xl/drawings/drawing6.xml><?xml version="1.0" encoding="utf-8"?>
<c:userShapes xmlns:c="http://schemas.openxmlformats.org/drawingml/2006/chart">
  <cdr:relSizeAnchor xmlns:cdr="http://schemas.openxmlformats.org/drawingml/2006/chartDrawing">
    <cdr:from>
      <cdr:x>0.0029</cdr:x>
      <cdr:y>0.00395</cdr:y>
    </cdr:from>
    <cdr:to>
      <cdr:x>0.9965</cdr:x>
      <cdr:y>0.17192</cdr:y>
    </cdr:to>
    <cdr:sp macro="" textlink="">
      <cdr:nvSpPr>
        <cdr:cNvPr id="2" name="Rectangle: Rounded Corners 1">
          <a:extLst xmlns:a="http://schemas.openxmlformats.org/drawingml/2006/main">
            <a:ext uri="{FF2B5EF4-FFF2-40B4-BE49-F238E27FC236}">
              <a16:creationId xmlns:a16="http://schemas.microsoft.com/office/drawing/2014/main" id="{094C8003-6B5D-2DAA-770B-8EDD49CA1D65}"/>
            </a:ext>
          </a:extLst>
        </cdr:cNvPr>
        <cdr:cNvSpPr/>
      </cdr:nvSpPr>
      <cdr:spPr>
        <a:xfrm xmlns:a="http://schemas.openxmlformats.org/drawingml/2006/main">
          <a:off x="12340" y="12700"/>
          <a:ext cx="4224380" cy="540000"/>
        </a:xfrm>
        <a:prstGeom xmlns:a="http://schemas.openxmlformats.org/drawingml/2006/main" prst="roundRect">
          <a:avLst/>
        </a:prstGeom>
        <a:solidFill xmlns:a="http://schemas.openxmlformats.org/drawingml/2006/main">
          <a:srgbClr val="3366CC">
            <a:alpha val="98039"/>
          </a:srgbClr>
        </a:solidFill>
        <a:effectLst xmlns:a="http://schemas.openxmlformats.org/drawingml/2006/main">
          <a:innerShdw blurRad="114300">
            <a:prstClr val="black"/>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a:latin typeface="+mj-lt"/>
            </a:rPr>
            <a:t>PATIENT COUNT BY CITY</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H" refreshedDate="46199.697749537037" createdVersion="8" refreshedVersion="8" minRefreshableVersion="3" recordCount="1000" xr:uid="{71FB32FA-D96E-4B49-9D80-1759D4A7C903}">
  <cacheSource type="worksheet">
    <worksheetSource ref="A1:M1001" sheet="Hospital_Data"/>
  </cacheSource>
  <cacheFields count="13">
    <cacheField name="Patient_ID" numFmtId="0">
      <sharedItems count="1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haredItems>
    </cacheField>
    <cacheField name="Admission_Date" numFmtId="0">
      <sharedItems/>
    </cacheField>
    <cacheField name="Age" numFmtId="0">
      <sharedItems containsSemiMixedTypes="0" containsString="0" containsNumber="1" containsInteger="1" minValue="1" maxValue="90" count="90">
        <n v="65"/>
        <n v="85"/>
        <n v="86"/>
        <n v="76"/>
        <n v="25"/>
        <n v="1"/>
        <n v="34"/>
        <n v="44"/>
        <n v="19"/>
        <n v="57"/>
        <n v="29"/>
        <n v="56"/>
        <n v="79"/>
        <n v="36"/>
        <n v="33"/>
        <n v="75"/>
        <n v="80"/>
        <n v="21"/>
        <n v="13"/>
        <n v="6"/>
        <n v="51"/>
        <n v="60"/>
        <n v="41"/>
        <n v="82"/>
        <n v="31"/>
        <n v="14"/>
        <n v="32"/>
        <n v="63"/>
        <n v="61"/>
        <n v="8"/>
        <n v="55"/>
        <n v="5"/>
        <n v="17"/>
        <n v="67"/>
        <n v="11"/>
        <n v="72"/>
        <n v="69"/>
        <n v="37"/>
        <n v="68"/>
        <n v="89"/>
        <n v="15"/>
        <n v="47"/>
        <n v="30"/>
        <n v="62"/>
        <n v="50"/>
        <n v="16"/>
        <n v="83"/>
        <n v="73"/>
        <n v="10"/>
        <n v="46"/>
        <n v="77"/>
        <n v="39"/>
        <n v="24"/>
        <n v="40"/>
        <n v="74"/>
        <n v="43"/>
        <n v="22"/>
        <n v="87"/>
        <n v="78"/>
        <n v="49"/>
        <n v="20"/>
        <n v="3"/>
        <n v="27"/>
        <n v="4"/>
        <n v="38"/>
        <n v="71"/>
        <n v="48"/>
        <n v="81"/>
        <n v="2"/>
        <n v="90"/>
        <n v="70"/>
        <n v="42"/>
        <n v="59"/>
        <n v="7"/>
        <n v="9"/>
        <n v="52"/>
        <n v="28"/>
        <n v="84"/>
        <n v="26"/>
        <n v="45"/>
        <n v="18"/>
        <n v="53"/>
        <n v="88"/>
        <n v="23"/>
        <n v="12"/>
        <n v="66"/>
        <n v="35"/>
        <n v="58"/>
        <n v="54"/>
        <n v="64"/>
      </sharedItems>
    </cacheField>
    <cacheField name="Gender" numFmtId="0">
      <sharedItems count="2">
        <s v="Male"/>
        <s v="Female"/>
      </sharedItems>
    </cacheField>
    <cacheField name="Department" numFmtId="0">
      <sharedItems count="6">
        <s v="Neurology"/>
        <s v="General Medicine"/>
        <s v="ENT"/>
        <s v="Pediatrics"/>
        <s v="Cardiology"/>
        <s v="Orthopedics"/>
      </sharedItems>
    </cacheField>
    <cacheField name="Doctor" numFmtId="0">
      <sharedItems/>
    </cacheField>
    <cacheField name="Diagnosis" numFmtId="0">
      <sharedItems count="6">
        <s v="Fracture"/>
        <s v="Fever"/>
        <s v="Migraine"/>
        <s v="Hypertension"/>
        <s v="Asthma"/>
        <s v="Diabetes"/>
      </sharedItems>
    </cacheField>
    <cacheField name="Treatment_Cost" numFmtId="0">
      <sharedItems containsSemiMixedTypes="0" containsString="0" containsNumber="1" minValue="1098.8800000000001" maxValue="149893.07999999999"/>
    </cacheField>
    <cacheField name="Length_of_Stay" numFmtId="0">
      <sharedItems containsSemiMixedTypes="0" containsString="0" containsNumber="1" containsInteger="1" minValue="1" maxValue="20"/>
    </cacheField>
    <cacheField name="Insurance" numFmtId="0">
      <sharedItems count="2">
        <s v="Yes"/>
        <s v="No"/>
      </sharedItems>
    </cacheField>
    <cacheField name="Blood_Group" numFmtId="0">
      <sharedItems/>
    </cacheField>
    <cacheField name="City" numFmtId="0">
      <sharedItems count="6">
        <s v="Kochi"/>
        <s v="Thrissur"/>
        <s v="Alappuzha"/>
        <s v="Kozhikode"/>
        <s v="Trivandrum"/>
        <s v="Kollam"/>
      </sharedItems>
    </cacheField>
    <cacheField name="Discharge_Status" numFmtId="0">
      <sharedItems/>
    </cacheField>
  </cacheFields>
  <extLst>
    <ext xmlns:x14="http://schemas.microsoft.com/office/spreadsheetml/2009/9/main" uri="{725AE2AE-9491-48be-B2B4-4EB974FC3084}">
      <x14:pivotCacheDefinition pivotCacheId="1320670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2025-12-19"/>
    <x v="0"/>
    <x v="0"/>
    <x v="0"/>
    <s v="Dr. Nisha"/>
    <x v="0"/>
    <n v="48789.14"/>
    <n v="4"/>
    <x v="0"/>
    <s v="A+"/>
    <x v="0"/>
    <s v="Referred"/>
  </r>
  <r>
    <x v="1"/>
    <s v="2026-04-30"/>
    <x v="1"/>
    <x v="0"/>
    <x v="1"/>
    <s v="Dr. Arun"/>
    <x v="1"/>
    <n v="64708.92"/>
    <n v="18"/>
    <x v="1"/>
    <s v="B+"/>
    <x v="1"/>
    <s v="Under Treatment"/>
  </r>
  <r>
    <x v="2"/>
    <s v="2025-04-16"/>
    <x v="2"/>
    <x v="1"/>
    <x v="2"/>
    <s v="Dr. Nisha"/>
    <x v="2"/>
    <n v="95428.68"/>
    <n v="20"/>
    <x v="0"/>
    <s v="B+"/>
    <x v="0"/>
    <s v="Referred"/>
  </r>
  <r>
    <x v="3"/>
    <s v="2026-02-12"/>
    <x v="3"/>
    <x v="1"/>
    <x v="2"/>
    <s v="Dr. Arun"/>
    <x v="1"/>
    <n v="138073.79"/>
    <n v="19"/>
    <x v="0"/>
    <s v="B-"/>
    <x v="2"/>
    <s v="Under Treatment"/>
  </r>
  <r>
    <x v="4"/>
    <s v="2025-04-18"/>
    <x v="4"/>
    <x v="0"/>
    <x v="1"/>
    <s v="Dr. Arun"/>
    <x v="3"/>
    <n v="30065.200000000001"/>
    <n v="15"/>
    <x v="0"/>
    <s v="AB+"/>
    <x v="3"/>
    <s v="Referred"/>
  </r>
  <r>
    <x v="5"/>
    <s v="2026-04-20"/>
    <x v="5"/>
    <x v="1"/>
    <x v="0"/>
    <s v="Dr. Arun"/>
    <x v="1"/>
    <n v="81310.080000000002"/>
    <n v="5"/>
    <x v="0"/>
    <s v="AB+"/>
    <x v="0"/>
    <s v="Under Treatment"/>
  </r>
  <r>
    <x v="6"/>
    <s v="2025-11-02"/>
    <x v="6"/>
    <x v="0"/>
    <x v="2"/>
    <s v="Dr. Nisha"/>
    <x v="2"/>
    <n v="122229.42"/>
    <n v="16"/>
    <x v="1"/>
    <s v="AB-"/>
    <x v="4"/>
    <s v="Under Treatment"/>
  </r>
  <r>
    <x v="7"/>
    <s v="2026-06-15"/>
    <x v="7"/>
    <x v="1"/>
    <x v="1"/>
    <s v="Dr. Arun"/>
    <x v="4"/>
    <n v="84537.82"/>
    <n v="1"/>
    <x v="0"/>
    <s v="A-"/>
    <x v="3"/>
    <s v="Referred"/>
  </r>
  <r>
    <x v="8"/>
    <s v="2026-04-29"/>
    <x v="8"/>
    <x v="1"/>
    <x v="2"/>
    <s v="Dr. Arun"/>
    <x v="3"/>
    <n v="1769.84"/>
    <n v="16"/>
    <x v="0"/>
    <s v="AB+"/>
    <x v="0"/>
    <s v="Recovered"/>
  </r>
  <r>
    <x v="9"/>
    <s v="2025-08-18"/>
    <x v="9"/>
    <x v="0"/>
    <x v="0"/>
    <s v="Dr. Priya"/>
    <x v="1"/>
    <n v="86666.32"/>
    <n v="19"/>
    <x v="1"/>
    <s v="AB+"/>
    <x v="1"/>
    <s v="Recovered"/>
  </r>
  <r>
    <x v="10"/>
    <s v="2025-11-21"/>
    <x v="2"/>
    <x v="0"/>
    <x v="3"/>
    <s v="Dr. Nisha"/>
    <x v="1"/>
    <n v="110103.3"/>
    <n v="18"/>
    <x v="0"/>
    <s v="B+"/>
    <x v="3"/>
    <s v="Under Treatment"/>
  </r>
  <r>
    <x v="11"/>
    <s v="2025-10-03"/>
    <x v="4"/>
    <x v="0"/>
    <x v="0"/>
    <s v="Dr. Arun"/>
    <x v="1"/>
    <n v="122067.05"/>
    <n v="7"/>
    <x v="1"/>
    <s v="B+"/>
    <x v="0"/>
    <s v="Recovered"/>
  </r>
  <r>
    <x v="12"/>
    <s v="2025-10-06"/>
    <x v="10"/>
    <x v="1"/>
    <x v="2"/>
    <s v="Dr. Priya"/>
    <x v="2"/>
    <n v="116549.89"/>
    <n v="2"/>
    <x v="1"/>
    <s v="O+"/>
    <x v="0"/>
    <s v="Referred"/>
  </r>
  <r>
    <x v="13"/>
    <s v="2025-09-12"/>
    <x v="11"/>
    <x v="0"/>
    <x v="2"/>
    <s v="Dr. Nisha"/>
    <x v="2"/>
    <n v="70873.509999999995"/>
    <n v="16"/>
    <x v="0"/>
    <s v="B-"/>
    <x v="0"/>
    <s v="Recovered"/>
  </r>
  <r>
    <x v="14"/>
    <s v="2025-04-20"/>
    <x v="12"/>
    <x v="0"/>
    <x v="3"/>
    <s v="Dr. Arun"/>
    <x v="1"/>
    <n v="104078.5"/>
    <n v="11"/>
    <x v="1"/>
    <s v="O-"/>
    <x v="0"/>
    <s v="Recovered"/>
  </r>
  <r>
    <x v="15"/>
    <s v="2026-04-21"/>
    <x v="13"/>
    <x v="1"/>
    <x v="3"/>
    <s v="Dr. Arun"/>
    <x v="1"/>
    <n v="68195.850000000006"/>
    <n v="7"/>
    <x v="0"/>
    <s v="A+"/>
    <x v="1"/>
    <s v="Referred"/>
  </r>
  <r>
    <x v="16"/>
    <s v="2026-02-07"/>
    <x v="14"/>
    <x v="1"/>
    <x v="3"/>
    <s v="Dr. Anil"/>
    <x v="5"/>
    <n v="75997.38"/>
    <n v="5"/>
    <x v="0"/>
    <s v="O-"/>
    <x v="2"/>
    <s v="Referred"/>
  </r>
  <r>
    <x v="17"/>
    <s v="2025-07-25"/>
    <x v="15"/>
    <x v="1"/>
    <x v="4"/>
    <s v="Dr. Meera"/>
    <x v="3"/>
    <n v="109978.78"/>
    <n v="4"/>
    <x v="1"/>
    <s v="B+"/>
    <x v="4"/>
    <s v="Recovered"/>
  </r>
  <r>
    <x v="18"/>
    <s v="2025-06-06"/>
    <x v="16"/>
    <x v="0"/>
    <x v="0"/>
    <s v="Dr. Arun"/>
    <x v="2"/>
    <n v="27784.57"/>
    <n v="8"/>
    <x v="1"/>
    <s v="A+"/>
    <x v="0"/>
    <s v="Referred"/>
  </r>
  <r>
    <x v="19"/>
    <s v="2025-06-29"/>
    <x v="5"/>
    <x v="0"/>
    <x v="4"/>
    <s v="Dr. Rahul"/>
    <x v="2"/>
    <n v="88531.74"/>
    <n v="15"/>
    <x v="1"/>
    <s v="A+"/>
    <x v="4"/>
    <s v="Referred"/>
  </r>
  <r>
    <x v="20"/>
    <s v="2025-03-30"/>
    <x v="17"/>
    <x v="1"/>
    <x v="1"/>
    <s v="Dr. Arun"/>
    <x v="4"/>
    <n v="32238.98"/>
    <n v="15"/>
    <x v="1"/>
    <s v="A+"/>
    <x v="2"/>
    <s v="Under Treatment"/>
  </r>
  <r>
    <x v="21"/>
    <s v="2025-01-31"/>
    <x v="18"/>
    <x v="1"/>
    <x v="0"/>
    <s v="Dr. Anil"/>
    <x v="0"/>
    <n v="88927.92"/>
    <n v="15"/>
    <x v="1"/>
    <s v="AB-"/>
    <x v="2"/>
    <s v="Referred"/>
  </r>
  <r>
    <x v="22"/>
    <s v="2026-05-06"/>
    <x v="19"/>
    <x v="0"/>
    <x v="0"/>
    <s v="Dr. Arun"/>
    <x v="5"/>
    <n v="9449.43"/>
    <n v="20"/>
    <x v="0"/>
    <s v="A+"/>
    <x v="0"/>
    <s v="Referred"/>
  </r>
  <r>
    <x v="23"/>
    <s v="2025-01-04"/>
    <x v="20"/>
    <x v="0"/>
    <x v="3"/>
    <s v="Dr. Nisha"/>
    <x v="1"/>
    <n v="51181.29"/>
    <n v="2"/>
    <x v="1"/>
    <s v="A+"/>
    <x v="4"/>
    <s v="Referred"/>
  </r>
  <r>
    <x v="24"/>
    <s v="2026-01-02"/>
    <x v="21"/>
    <x v="0"/>
    <x v="1"/>
    <s v="Dr. Nisha"/>
    <x v="2"/>
    <n v="53120.21"/>
    <n v="20"/>
    <x v="0"/>
    <s v="AB+"/>
    <x v="2"/>
    <s v="Recovered"/>
  </r>
  <r>
    <x v="25"/>
    <s v="2025-02-05"/>
    <x v="22"/>
    <x v="0"/>
    <x v="1"/>
    <s v="Dr. Rahul"/>
    <x v="0"/>
    <n v="8090.03"/>
    <n v="2"/>
    <x v="0"/>
    <s v="O-"/>
    <x v="3"/>
    <s v="Referred"/>
  </r>
  <r>
    <x v="26"/>
    <s v="2025-03-20"/>
    <x v="23"/>
    <x v="1"/>
    <x v="1"/>
    <s v="Dr. Nisha"/>
    <x v="4"/>
    <n v="96415.99"/>
    <n v="19"/>
    <x v="1"/>
    <s v="A-"/>
    <x v="2"/>
    <s v="Under Treatment"/>
  </r>
  <r>
    <x v="27"/>
    <s v="2025-05-03"/>
    <x v="24"/>
    <x v="1"/>
    <x v="3"/>
    <s v="Dr. Nisha"/>
    <x v="3"/>
    <n v="99887.11"/>
    <n v="2"/>
    <x v="1"/>
    <s v="A-"/>
    <x v="0"/>
    <s v="Under Treatment"/>
  </r>
  <r>
    <x v="28"/>
    <s v="2025-09-01"/>
    <x v="25"/>
    <x v="0"/>
    <x v="1"/>
    <s v="Dr. Meera"/>
    <x v="4"/>
    <n v="87404.64"/>
    <n v="7"/>
    <x v="0"/>
    <s v="O-"/>
    <x v="3"/>
    <s v="Under Treatment"/>
  </r>
  <r>
    <x v="29"/>
    <s v="2025-09-30"/>
    <x v="26"/>
    <x v="0"/>
    <x v="1"/>
    <s v="Dr. Anil"/>
    <x v="1"/>
    <n v="13303.43"/>
    <n v="4"/>
    <x v="0"/>
    <s v="A+"/>
    <x v="2"/>
    <s v="Recovered"/>
  </r>
  <r>
    <x v="30"/>
    <s v="2025-11-30"/>
    <x v="27"/>
    <x v="1"/>
    <x v="0"/>
    <s v="Dr. Nisha"/>
    <x v="4"/>
    <n v="95123.17"/>
    <n v="11"/>
    <x v="0"/>
    <s v="O-"/>
    <x v="5"/>
    <s v="Recovered"/>
  </r>
  <r>
    <x v="31"/>
    <s v="2025-10-19"/>
    <x v="28"/>
    <x v="1"/>
    <x v="1"/>
    <s v="Dr. Arun"/>
    <x v="5"/>
    <n v="103754.64"/>
    <n v="10"/>
    <x v="1"/>
    <s v="O-"/>
    <x v="2"/>
    <s v="Recovered"/>
  </r>
  <r>
    <x v="32"/>
    <s v="2025-02-22"/>
    <x v="29"/>
    <x v="0"/>
    <x v="5"/>
    <s v="Dr. Meera"/>
    <x v="5"/>
    <n v="23529.96"/>
    <n v="6"/>
    <x v="0"/>
    <s v="B-"/>
    <x v="4"/>
    <s v="Under Treatment"/>
  </r>
  <r>
    <x v="33"/>
    <s v="2025-03-25"/>
    <x v="18"/>
    <x v="0"/>
    <x v="0"/>
    <s v="Dr. Rahul"/>
    <x v="2"/>
    <n v="119520.06"/>
    <n v="10"/>
    <x v="0"/>
    <s v="O+"/>
    <x v="5"/>
    <s v="Referred"/>
  </r>
  <r>
    <x v="34"/>
    <s v="2026-01-22"/>
    <x v="30"/>
    <x v="0"/>
    <x v="0"/>
    <s v="Dr. Anil"/>
    <x v="4"/>
    <n v="20160.990000000002"/>
    <n v="7"/>
    <x v="0"/>
    <s v="AB-"/>
    <x v="1"/>
    <s v="Referred"/>
  </r>
  <r>
    <x v="35"/>
    <s v="2025-01-03"/>
    <x v="1"/>
    <x v="0"/>
    <x v="2"/>
    <s v="Dr. Meera"/>
    <x v="5"/>
    <n v="123710.9"/>
    <n v="1"/>
    <x v="1"/>
    <s v="A+"/>
    <x v="4"/>
    <s v="Referred"/>
  </r>
  <r>
    <x v="36"/>
    <s v="2025-12-27"/>
    <x v="31"/>
    <x v="1"/>
    <x v="1"/>
    <s v="Dr. Anil"/>
    <x v="4"/>
    <n v="39782.79"/>
    <n v="13"/>
    <x v="1"/>
    <s v="O+"/>
    <x v="0"/>
    <s v="Under Treatment"/>
  </r>
  <r>
    <x v="37"/>
    <s v="2025-06-16"/>
    <x v="2"/>
    <x v="1"/>
    <x v="4"/>
    <s v="Dr. Meera"/>
    <x v="3"/>
    <n v="123571.65"/>
    <n v="11"/>
    <x v="1"/>
    <s v="O+"/>
    <x v="4"/>
    <s v="Under Treatment"/>
  </r>
  <r>
    <x v="38"/>
    <s v="2025-08-21"/>
    <x v="32"/>
    <x v="1"/>
    <x v="1"/>
    <s v="Dr. Anil"/>
    <x v="4"/>
    <n v="97311.48"/>
    <n v="4"/>
    <x v="1"/>
    <s v="B-"/>
    <x v="2"/>
    <s v="Referred"/>
  </r>
  <r>
    <x v="39"/>
    <s v="2025-01-02"/>
    <x v="33"/>
    <x v="1"/>
    <x v="4"/>
    <s v="Dr. Meera"/>
    <x v="5"/>
    <n v="145885.35"/>
    <n v="11"/>
    <x v="0"/>
    <s v="O+"/>
    <x v="0"/>
    <s v="Recovered"/>
  </r>
  <r>
    <x v="40"/>
    <s v="2026-04-24"/>
    <x v="34"/>
    <x v="1"/>
    <x v="3"/>
    <s v="Dr. Arun"/>
    <x v="5"/>
    <n v="82249.279999999999"/>
    <n v="1"/>
    <x v="1"/>
    <s v="B+"/>
    <x v="3"/>
    <s v="Referred"/>
  </r>
  <r>
    <x v="41"/>
    <s v="2026-02-26"/>
    <x v="9"/>
    <x v="1"/>
    <x v="3"/>
    <s v="Dr. Anil"/>
    <x v="4"/>
    <n v="76192.3"/>
    <n v="11"/>
    <x v="0"/>
    <s v="A-"/>
    <x v="5"/>
    <s v="Recovered"/>
  </r>
  <r>
    <x v="42"/>
    <s v="2025-03-14"/>
    <x v="25"/>
    <x v="0"/>
    <x v="5"/>
    <s v="Dr. Meera"/>
    <x v="4"/>
    <n v="11326.73"/>
    <n v="9"/>
    <x v="0"/>
    <s v="A-"/>
    <x v="5"/>
    <s v="Recovered"/>
  </r>
  <r>
    <x v="43"/>
    <s v="2025-04-29"/>
    <x v="21"/>
    <x v="1"/>
    <x v="5"/>
    <s v="Dr. Anil"/>
    <x v="2"/>
    <n v="21347.9"/>
    <n v="11"/>
    <x v="1"/>
    <s v="O-"/>
    <x v="1"/>
    <s v="Referred"/>
  </r>
  <r>
    <x v="44"/>
    <s v="2025-12-26"/>
    <x v="35"/>
    <x v="0"/>
    <x v="2"/>
    <s v="Dr. Nisha"/>
    <x v="2"/>
    <n v="73973.440000000002"/>
    <n v="20"/>
    <x v="0"/>
    <s v="A+"/>
    <x v="0"/>
    <s v="Recovered"/>
  </r>
  <r>
    <x v="45"/>
    <s v="2025-07-11"/>
    <x v="36"/>
    <x v="1"/>
    <x v="0"/>
    <s v="Dr. Nisha"/>
    <x v="3"/>
    <n v="58581.38"/>
    <n v="9"/>
    <x v="1"/>
    <s v="A-"/>
    <x v="3"/>
    <s v="Referred"/>
  </r>
  <r>
    <x v="46"/>
    <s v="2025-01-04"/>
    <x v="37"/>
    <x v="0"/>
    <x v="4"/>
    <s v="Dr. Rahul"/>
    <x v="3"/>
    <n v="97552.66"/>
    <n v="10"/>
    <x v="1"/>
    <s v="AB-"/>
    <x v="1"/>
    <s v="Under Treatment"/>
  </r>
  <r>
    <x v="47"/>
    <s v="2025-04-12"/>
    <x v="19"/>
    <x v="0"/>
    <x v="4"/>
    <s v="Dr. Priya"/>
    <x v="1"/>
    <n v="65046.71"/>
    <n v="6"/>
    <x v="1"/>
    <s v="O+"/>
    <x v="2"/>
    <s v="Referred"/>
  </r>
  <r>
    <x v="48"/>
    <s v="2026-05-20"/>
    <x v="38"/>
    <x v="1"/>
    <x v="4"/>
    <s v="Dr. Priya"/>
    <x v="3"/>
    <n v="134089.92000000001"/>
    <n v="17"/>
    <x v="1"/>
    <s v="AB-"/>
    <x v="4"/>
    <s v="Under Treatment"/>
  </r>
  <r>
    <x v="49"/>
    <s v="2025-07-17"/>
    <x v="26"/>
    <x v="1"/>
    <x v="4"/>
    <s v="Dr. Nisha"/>
    <x v="3"/>
    <n v="52536.94"/>
    <n v="19"/>
    <x v="0"/>
    <s v="A-"/>
    <x v="2"/>
    <s v="Under Treatment"/>
  </r>
  <r>
    <x v="50"/>
    <s v="2026-06-23"/>
    <x v="39"/>
    <x v="1"/>
    <x v="4"/>
    <s v="Dr. Priya"/>
    <x v="3"/>
    <n v="46519.95"/>
    <n v="15"/>
    <x v="0"/>
    <s v="AB+"/>
    <x v="5"/>
    <s v="Recovered"/>
  </r>
  <r>
    <x v="51"/>
    <s v="2025-08-08"/>
    <x v="40"/>
    <x v="0"/>
    <x v="4"/>
    <s v="Dr. Nisha"/>
    <x v="0"/>
    <n v="36191.629999999997"/>
    <n v="19"/>
    <x v="1"/>
    <s v="AB-"/>
    <x v="3"/>
    <s v="Under Treatment"/>
  </r>
  <r>
    <x v="52"/>
    <s v="2025-12-11"/>
    <x v="23"/>
    <x v="1"/>
    <x v="3"/>
    <s v="Dr. Arun"/>
    <x v="1"/>
    <n v="143595.04"/>
    <n v="9"/>
    <x v="0"/>
    <s v="A-"/>
    <x v="5"/>
    <s v="Under Treatment"/>
  </r>
  <r>
    <x v="53"/>
    <s v="2026-04-06"/>
    <x v="25"/>
    <x v="1"/>
    <x v="3"/>
    <s v="Dr. Nisha"/>
    <x v="1"/>
    <n v="75031.100000000006"/>
    <n v="7"/>
    <x v="1"/>
    <s v="A-"/>
    <x v="5"/>
    <s v="Under Treatment"/>
  </r>
  <r>
    <x v="54"/>
    <s v="2025-10-05"/>
    <x v="41"/>
    <x v="1"/>
    <x v="1"/>
    <s v="Dr. Anil"/>
    <x v="1"/>
    <n v="110248.24"/>
    <n v="6"/>
    <x v="0"/>
    <s v="B-"/>
    <x v="5"/>
    <s v="Referred"/>
  </r>
  <r>
    <x v="55"/>
    <s v="2026-04-10"/>
    <x v="17"/>
    <x v="1"/>
    <x v="5"/>
    <s v="Dr. Arun"/>
    <x v="5"/>
    <n v="124985.54"/>
    <n v="7"/>
    <x v="0"/>
    <s v="AB+"/>
    <x v="2"/>
    <s v="Referred"/>
  </r>
  <r>
    <x v="56"/>
    <s v="2026-04-11"/>
    <x v="42"/>
    <x v="0"/>
    <x v="0"/>
    <s v="Dr. Meera"/>
    <x v="5"/>
    <n v="113922.11"/>
    <n v="5"/>
    <x v="0"/>
    <s v="O+"/>
    <x v="4"/>
    <s v="Referred"/>
  </r>
  <r>
    <x v="57"/>
    <s v="2025-12-08"/>
    <x v="43"/>
    <x v="0"/>
    <x v="1"/>
    <s v="Dr. Anil"/>
    <x v="2"/>
    <n v="89423.9"/>
    <n v="8"/>
    <x v="1"/>
    <s v="O+"/>
    <x v="5"/>
    <s v="Recovered"/>
  </r>
  <r>
    <x v="58"/>
    <s v="2025-04-04"/>
    <x v="25"/>
    <x v="0"/>
    <x v="0"/>
    <s v="Dr. Arun"/>
    <x v="0"/>
    <n v="49914.54"/>
    <n v="9"/>
    <x v="0"/>
    <s v="O-"/>
    <x v="4"/>
    <s v="Recovered"/>
  </r>
  <r>
    <x v="59"/>
    <s v="2026-02-01"/>
    <x v="42"/>
    <x v="0"/>
    <x v="5"/>
    <s v="Dr. Priya"/>
    <x v="1"/>
    <n v="26144.25"/>
    <n v="19"/>
    <x v="0"/>
    <s v="B-"/>
    <x v="2"/>
    <s v="Recovered"/>
  </r>
  <r>
    <x v="60"/>
    <s v="2025-11-05"/>
    <x v="44"/>
    <x v="1"/>
    <x v="5"/>
    <s v="Dr. Arun"/>
    <x v="2"/>
    <n v="23086.16"/>
    <n v="16"/>
    <x v="0"/>
    <s v="B-"/>
    <x v="2"/>
    <s v="Under Treatment"/>
  </r>
  <r>
    <x v="61"/>
    <s v="2025-06-20"/>
    <x v="9"/>
    <x v="0"/>
    <x v="4"/>
    <s v="Dr. Nisha"/>
    <x v="0"/>
    <n v="127632.57"/>
    <n v="6"/>
    <x v="0"/>
    <s v="B-"/>
    <x v="5"/>
    <s v="Under Treatment"/>
  </r>
  <r>
    <x v="62"/>
    <s v="2025-12-07"/>
    <x v="16"/>
    <x v="0"/>
    <x v="4"/>
    <s v="Dr. Rahul"/>
    <x v="2"/>
    <n v="49892.61"/>
    <n v="3"/>
    <x v="0"/>
    <s v="AB-"/>
    <x v="5"/>
    <s v="Recovered"/>
  </r>
  <r>
    <x v="63"/>
    <s v="2025-02-14"/>
    <x v="45"/>
    <x v="1"/>
    <x v="4"/>
    <s v="Dr. Nisha"/>
    <x v="2"/>
    <n v="139213.01"/>
    <n v="2"/>
    <x v="1"/>
    <s v="B-"/>
    <x v="5"/>
    <s v="Referred"/>
  </r>
  <r>
    <x v="64"/>
    <s v="2026-04-09"/>
    <x v="46"/>
    <x v="1"/>
    <x v="4"/>
    <s v="Dr. Rahul"/>
    <x v="1"/>
    <n v="144647.35"/>
    <n v="11"/>
    <x v="0"/>
    <s v="AB+"/>
    <x v="1"/>
    <s v="Referred"/>
  </r>
  <r>
    <x v="65"/>
    <s v="2025-01-22"/>
    <x v="47"/>
    <x v="1"/>
    <x v="3"/>
    <s v="Dr. Meera"/>
    <x v="3"/>
    <n v="96786.06"/>
    <n v="6"/>
    <x v="0"/>
    <s v="O-"/>
    <x v="2"/>
    <s v="Recovered"/>
  </r>
  <r>
    <x v="66"/>
    <s v="2025-05-14"/>
    <x v="48"/>
    <x v="0"/>
    <x v="2"/>
    <s v="Dr. Rahul"/>
    <x v="1"/>
    <n v="128281.33"/>
    <n v="19"/>
    <x v="0"/>
    <s v="AB+"/>
    <x v="3"/>
    <s v="Recovered"/>
  </r>
  <r>
    <x v="67"/>
    <s v="2026-06-07"/>
    <x v="38"/>
    <x v="1"/>
    <x v="1"/>
    <s v="Dr. Nisha"/>
    <x v="3"/>
    <n v="76245.36"/>
    <n v="3"/>
    <x v="1"/>
    <s v="O+"/>
    <x v="3"/>
    <s v="Referred"/>
  </r>
  <r>
    <x v="68"/>
    <s v="2026-06-09"/>
    <x v="12"/>
    <x v="0"/>
    <x v="0"/>
    <s v="Dr. Anil"/>
    <x v="3"/>
    <n v="120589.19"/>
    <n v="4"/>
    <x v="0"/>
    <s v="A-"/>
    <x v="4"/>
    <s v="Referred"/>
  </r>
  <r>
    <x v="69"/>
    <s v="2025-03-02"/>
    <x v="49"/>
    <x v="0"/>
    <x v="1"/>
    <s v="Dr. Arun"/>
    <x v="3"/>
    <n v="61905.08"/>
    <n v="14"/>
    <x v="1"/>
    <s v="AB-"/>
    <x v="3"/>
    <s v="Referred"/>
  </r>
  <r>
    <x v="70"/>
    <s v="2025-07-04"/>
    <x v="30"/>
    <x v="1"/>
    <x v="1"/>
    <s v="Dr. Meera"/>
    <x v="2"/>
    <n v="23047.84"/>
    <n v="13"/>
    <x v="1"/>
    <s v="O+"/>
    <x v="4"/>
    <s v="Under Treatment"/>
  </r>
  <r>
    <x v="71"/>
    <s v="2025-09-10"/>
    <x v="25"/>
    <x v="1"/>
    <x v="4"/>
    <s v="Dr. Rahul"/>
    <x v="2"/>
    <n v="103038.63"/>
    <n v="11"/>
    <x v="0"/>
    <s v="A-"/>
    <x v="2"/>
    <s v="Referred"/>
  </r>
  <r>
    <x v="72"/>
    <s v="2025-02-12"/>
    <x v="42"/>
    <x v="1"/>
    <x v="4"/>
    <s v="Dr. Priya"/>
    <x v="5"/>
    <n v="137416.76999999999"/>
    <n v="11"/>
    <x v="1"/>
    <s v="A-"/>
    <x v="1"/>
    <s v="Recovered"/>
  </r>
  <r>
    <x v="73"/>
    <s v="2026-05-12"/>
    <x v="47"/>
    <x v="0"/>
    <x v="2"/>
    <s v="Dr. Priya"/>
    <x v="2"/>
    <n v="62927.69"/>
    <n v="8"/>
    <x v="1"/>
    <s v="A+"/>
    <x v="5"/>
    <s v="Recovered"/>
  </r>
  <r>
    <x v="74"/>
    <s v="2025-11-16"/>
    <x v="50"/>
    <x v="1"/>
    <x v="3"/>
    <s v="Dr. Anil"/>
    <x v="0"/>
    <n v="74222.789999999994"/>
    <n v="15"/>
    <x v="1"/>
    <s v="B-"/>
    <x v="2"/>
    <s v="Referred"/>
  </r>
  <r>
    <x v="75"/>
    <s v="2025-03-30"/>
    <x v="22"/>
    <x v="0"/>
    <x v="0"/>
    <s v="Dr. Rahul"/>
    <x v="5"/>
    <n v="74250.52"/>
    <n v="17"/>
    <x v="1"/>
    <s v="AB-"/>
    <x v="2"/>
    <s v="Recovered"/>
  </r>
  <r>
    <x v="76"/>
    <s v="2025-11-19"/>
    <x v="51"/>
    <x v="1"/>
    <x v="2"/>
    <s v="Dr. Rahul"/>
    <x v="4"/>
    <n v="70129.25"/>
    <n v="3"/>
    <x v="1"/>
    <s v="O+"/>
    <x v="1"/>
    <s v="Referred"/>
  </r>
  <r>
    <x v="77"/>
    <s v="2025-04-15"/>
    <x v="3"/>
    <x v="0"/>
    <x v="2"/>
    <s v="Dr. Arun"/>
    <x v="1"/>
    <n v="49530.97"/>
    <n v="6"/>
    <x v="0"/>
    <s v="A-"/>
    <x v="2"/>
    <s v="Recovered"/>
  </r>
  <r>
    <x v="78"/>
    <s v="2025-04-01"/>
    <x v="33"/>
    <x v="0"/>
    <x v="0"/>
    <s v="Dr. Priya"/>
    <x v="4"/>
    <n v="23332.12"/>
    <n v="15"/>
    <x v="0"/>
    <s v="B+"/>
    <x v="1"/>
    <s v="Under Treatment"/>
  </r>
  <r>
    <x v="79"/>
    <s v="2025-11-02"/>
    <x v="52"/>
    <x v="0"/>
    <x v="5"/>
    <s v="Dr. Nisha"/>
    <x v="1"/>
    <n v="142284.93"/>
    <n v="19"/>
    <x v="1"/>
    <s v="AB+"/>
    <x v="5"/>
    <s v="Referred"/>
  </r>
  <r>
    <x v="80"/>
    <s v="2025-05-11"/>
    <x v="16"/>
    <x v="1"/>
    <x v="5"/>
    <s v="Dr. Rahul"/>
    <x v="2"/>
    <n v="149702.04999999999"/>
    <n v="5"/>
    <x v="1"/>
    <s v="AB-"/>
    <x v="2"/>
    <s v="Under Treatment"/>
  </r>
  <r>
    <x v="81"/>
    <s v="2026-05-26"/>
    <x v="5"/>
    <x v="1"/>
    <x v="4"/>
    <s v="Dr. Meera"/>
    <x v="0"/>
    <n v="110463.54"/>
    <n v="2"/>
    <x v="0"/>
    <s v="AB-"/>
    <x v="1"/>
    <s v="Under Treatment"/>
  </r>
  <r>
    <x v="82"/>
    <s v="2025-05-01"/>
    <x v="53"/>
    <x v="0"/>
    <x v="1"/>
    <s v="Dr. Meera"/>
    <x v="0"/>
    <n v="144019.51"/>
    <n v="1"/>
    <x v="0"/>
    <s v="A-"/>
    <x v="4"/>
    <s v="Referred"/>
  </r>
  <r>
    <x v="83"/>
    <s v="2025-04-24"/>
    <x v="54"/>
    <x v="0"/>
    <x v="3"/>
    <s v="Dr. Meera"/>
    <x v="4"/>
    <n v="20551.16"/>
    <n v="1"/>
    <x v="0"/>
    <s v="AB-"/>
    <x v="3"/>
    <s v="Referred"/>
  </r>
  <r>
    <x v="84"/>
    <s v="2025-10-27"/>
    <x v="40"/>
    <x v="1"/>
    <x v="2"/>
    <s v="Dr. Anil"/>
    <x v="1"/>
    <n v="97301.27"/>
    <n v="16"/>
    <x v="0"/>
    <s v="O+"/>
    <x v="2"/>
    <s v="Referred"/>
  </r>
  <r>
    <x v="85"/>
    <s v="2025-09-28"/>
    <x v="46"/>
    <x v="1"/>
    <x v="4"/>
    <s v="Dr. Meera"/>
    <x v="0"/>
    <n v="77870.19"/>
    <n v="13"/>
    <x v="1"/>
    <s v="O-"/>
    <x v="1"/>
    <s v="Recovered"/>
  </r>
  <r>
    <x v="86"/>
    <s v="2025-04-23"/>
    <x v="25"/>
    <x v="0"/>
    <x v="2"/>
    <s v="Dr. Anil"/>
    <x v="0"/>
    <n v="52539.66"/>
    <n v="7"/>
    <x v="1"/>
    <s v="O-"/>
    <x v="2"/>
    <s v="Referred"/>
  </r>
  <r>
    <x v="87"/>
    <s v="2025-12-05"/>
    <x v="55"/>
    <x v="0"/>
    <x v="0"/>
    <s v="Dr. Anil"/>
    <x v="4"/>
    <n v="3045"/>
    <n v="13"/>
    <x v="0"/>
    <s v="AB-"/>
    <x v="2"/>
    <s v="Recovered"/>
  </r>
  <r>
    <x v="88"/>
    <s v="2025-11-19"/>
    <x v="34"/>
    <x v="1"/>
    <x v="4"/>
    <s v="Dr. Priya"/>
    <x v="2"/>
    <n v="19179.86"/>
    <n v="1"/>
    <x v="0"/>
    <s v="B-"/>
    <x v="3"/>
    <s v="Referred"/>
  </r>
  <r>
    <x v="89"/>
    <s v="2025-07-13"/>
    <x v="56"/>
    <x v="1"/>
    <x v="0"/>
    <s v="Dr. Rahul"/>
    <x v="1"/>
    <n v="109692.21"/>
    <n v="16"/>
    <x v="1"/>
    <s v="A-"/>
    <x v="5"/>
    <s v="Referred"/>
  </r>
  <r>
    <x v="90"/>
    <s v="2025-08-22"/>
    <x v="57"/>
    <x v="1"/>
    <x v="0"/>
    <s v="Dr. Nisha"/>
    <x v="1"/>
    <n v="12756.04"/>
    <n v="12"/>
    <x v="1"/>
    <s v="B+"/>
    <x v="5"/>
    <s v="Under Treatment"/>
  </r>
  <r>
    <x v="91"/>
    <s v="2025-12-03"/>
    <x v="58"/>
    <x v="0"/>
    <x v="0"/>
    <s v="Dr. Rahul"/>
    <x v="3"/>
    <n v="149670.59"/>
    <n v="20"/>
    <x v="0"/>
    <s v="B-"/>
    <x v="3"/>
    <s v="Recovered"/>
  </r>
  <r>
    <x v="92"/>
    <s v="2026-02-26"/>
    <x v="59"/>
    <x v="0"/>
    <x v="4"/>
    <s v="Dr. Anil"/>
    <x v="3"/>
    <n v="23739.66"/>
    <n v="9"/>
    <x v="1"/>
    <s v="B-"/>
    <x v="1"/>
    <s v="Referred"/>
  </r>
  <r>
    <x v="93"/>
    <s v="2026-06-15"/>
    <x v="60"/>
    <x v="0"/>
    <x v="0"/>
    <s v="Dr. Meera"/>
    <x v="4"/>
    <n v="61477.09"/>
    <n v="6"/>
    <x v="0"/>
    <s v="B+"/>
    <x v="4"/>
    <s v="Recovered"/>
  </r>
  <r>
    <x v="94"/>
    <s v="2026-01-05"/>
    <x v="54"/>
    <x v="1"/>
    <x v="3"/>
    <s v="Dr. Anil"/>
    <x v="2"/>
    <n v="130747.17"/>
    <n v="6"/>
    <x v="1"/>
    <s v="B-"/>
    <x v="3"/>
    <s v="Recovered"/>
  </r>
  <r>
    <x v="95"/>
    <s v="2026-05-21"/>
    <x v="61"/>
    <x v="1"/>
    <x v="0"/>
    <s v="Dr. Meera"/>
    <x v="1"/>
    <n v="105304.66"/>
    <n v="15"/>
    <x v="1"/>
    <s v="AB+"/>
    <x v="1"/>
    <s v="Referred"/>
  </r>
  <r>
    <x v="96"/>
    <s v="2026-06-09"/>
    <x v="47"/>
    <x v="1"/>
    <x v="4"/>
    <s v="Dr. Nisha"/>
    <x v="5"/>
    <n v="1595.37"/>
    <n v="11"/>
    <x v="0"/>
    <s v="AB-"/>
    <x v="0"/>
    <s v="Referred"/>
  </r>
  <r>
    <x v="97"/>
    <s v="2026-03-04"/>
    <x v="24"/>
    <x v="1"/>
    <x v="5"/>
    <s v="Dr. Meera"/>
    <x v="0"/>
    <n v="147303.53"/>
    <n v="8"/>
    <x v="1"/>
    <s v="O+"/>
    <x v="2"/>
    <s v="Recovered"/>
  </r>
  <r>
    <x v="98"/>
    <s v="2025-04-11"/>
    <x v="62"/>
    <x v="1"/>
    <x v="3"/>
    <s v="Dr. Anil"/>
    <x v="4"/>
    <n v="95251.79"/>
    <n v="10"/>
    <x v="1"/>
    <s v="O+"/>
    <x v="1"/>
    <s v="Under Treatment"/>
  </r>
  <r>
    <x v="99"/>
    <s v="2025-05-23"/>
    <x v="44"/>
    <x v="0"/>
    <x v="3"/>
    <s v="Dr. Nisha"/>
    <x v="1"/>
    <n v="48809.24"/>
    <n v="2"/>
    <x v="1"/>
    <s v="O+"/>
    <x v="3"/>
    <s v="Under Treatment"/>
  </r>
  <r>
    <x v="100"/>
    <s v="2025-10-13"/>
    <x v="17"/>
    <x v="1"/>
    <x v="0"/>
    <s v="Dr. Arun"/>
    <x v="0"/>
    <n v="77372.289999999994"/>
    <n v="16"/>
    <x v="0"/>
    <s v="B-"/>
    <x v="5"/>
    <s v="Referred"/>
  </r>
  <r>
    <x v="101"/>
    <s v="2025-01-14"/>
    <x v="6"/>
    <x v="0"/>
    <x v="0"/>
    <s v="Dr. Anil"/>
    <x v="0"/>
    <n v="104545.42"/>
    <n v="1"/>
    <x v="1"/>
    <s v="O+"/>
    <x v="3"/>
    <s v="Under Treatment"/>
  </r>
  <r>
    <x v="102"/>
    <s v="2025-02-05"/>
    <x v="43"/>
    <x v="0"/>
    <x v="2"/>
    <s v="Dr. Meera"/>
    <x v="1"/>
    <n v="94904.49"/>
    <n v="7"/>
    <x v="0"/>
    <s v="O+"/>
    <x v="0"/>
    <s v="Under Treatment"/>
  </r>
  <r>
    <x v="103"/>
    <s v="2026-04-03"/>
    <x v="63"/>
    <x v="1"/>
    <x v="1"/>
    <s v="Dr. Rahul"/>
    <x v="0"/>
    <n v="78663.77"/>
    <n v="17"/>
    <x v="0"/>
    <s v="B+"/>
    <x v="4"/>
    <s v="Recovered"/>
  </r>
  <r>
    <x v="104"/>
    <s v="2025-12-26"/>
    <x v="20"/>
    <x v="1"/>
    <x v="5"/>
    <s v="Dr. Anil"/>
    <x v="0"/>
    <n v="36709.65"/>
    <n v="5"/>
    <x v="1"/>
    <s v="AB-"/>
    <x v="3"/>
    <s v="Recovered"/>
  </r>
  <r>
    <x v="105"/>
    <s v="2025-11-17"/>
    <x v="22"/>
    <x v="0"/>
    <x v="4"/>
    <s v="Dr. Rahul"/>
    <x v="2"/>
    <n v="59250.36"/>
    <n v="3"/>
    <x v="1"/>
    <s v="AB+"/>
    <x v="0"/>
    <s v="Under Treatment"/>
  </r>
  <r>
    <x v="106"/>
    <s v="2026-03-12"/>
    <x v="44"/>
    <x v="1"/>
    <x v="5"/>
    <s v="Dr. Arun"/>
    <x v="3"/>
    <n v="70983.86"/>
    <n v="10"/>
    <x v="1"/>
    <s v="AB-"/>
    <x v="4"/>
    <s v="Referred"/>
  </r>
  <r>
    <x v="107"/>
    <s v="2025-08-18"/>
    <x v="35"/>
    <x v="0"/>
    <x v="5"/>
    <s v="Dr. Rahul"/>
    <x v="1"/>
    <n v="103251.41"/>
    <n v="15"/>
    <x v="1"/>
    <s v="A-"/>
    <x v="5"/>
    <s v="Recovered"/>
  </r>
  <r>
    <x v="108"/>
    <s v="2025-07-22"/>
    <x v="64"/>
    <x v="1"/>
    <x v="3"/>
    <s v="Dr. Priya"/>
    <x v="1"/>
    <n v="94879.59"/>
    <n v="12"/>
    <x v="1"/>
    <s v="B+"/>
    <x v="4"/>
    <s v="Recovered"/>
  </r>
  <r>
    <x v="109"/>
    <s v="2026-01-19"/>
    <x v="15"/>
    <x v="0"/>
    <x v="0"/>
    <s v="Dr. Priya"/>
    <x v="1"/>
    <n v="57195.08"/>
    <n v="6"/>
    <x v="0"/>
    <s v="B+"/>
    <x v="5"/>
    <s v="Referred"/>
  </r>
  <r>
    <x v="110"/>
    <s v="2025-11-18"/>
    <x v="35"/>
    <x v="0"/>
    <x v="2"/>
    <s v="Dr. Rahul"/>
    <x v="3"/>
    <n v="140135.07999999999"/>
    <n v="8"/>
    <x v="1"/>
    <s v="B-"/>
    <x v="0"/>
    <s v="Referred"/>
  </r>
  <r>
    <x v="111"/>
    <s v="2026-01-27"/>
    <x v="33"/>
    <x v="1"/>
    <x v="3"/>
    <s v="Dr. Nisha"/>
    <x v="5"/>
    <n v="59585.06"/>
    <n v="15"/>
    <x v="1"/>
    <s v="A+"/>
    <x v="2"/>
    <s v="Under Treatment"/>
  </r>
  <r>
    <x v="112"/>
    <s v="2025-06-01"/>
    <x v="65"/>
    <x v="0"/>
    <x v="4"/>
    <s v="Dr. Nisha"/>
    <x v="4"/>
    <n v="75958.899999999994"/>
    <n v="3"/>
    <x v="0"/>
    <s v="A+"/>
    <x v="0"/>
    <s v="Referred"/>
  </r>
  <r>
    <x v="113"/>
    <s v="2025-02-17"/>
    <x v="45"/>
    <x v="1"/>
    <x v="3"/>
    <s v="Dr. Priya"/>
    <x v="5"/>
    <n v="138885.89000000001"/>
    <n v="9"/>
    <x v="1"/>
    <s v="AB-"/>
    <x v="0"/>
    <s v="Referred"/>
  </r>
  <r>
    <x v="114"/>
    <s v="2025-01-22"/>
    <x v="36"/>
    <x v="1"/>
    <x v="4"/>
    <s v="Dr. Priya"/>
    <x v="2"/>
    <n v="108272.14"/>
    <n v="11"/>
    <x v="1"/>
    <s v="A+"/>
    <x v="3"/>
    <s v="Referred"/>
  </r>
  <r>
    <x v="115"/>
    <s v="2026-02-03"/>
    <x v="22"/>
    <x v="0"/>
    <x v="3"/>
    <s v="Dr. Anil"/>
    <x v="1"/>
    <n v="82562.09"/>
    <n v="18"/>
    <x v="1"/>
    <s v="B-"/>
    <x v="5"/>
    <s v="Referred"/>
  </r>
  <r>
    <x v="116"/>
    <s v="2026-04-06"/>
    <x v="26"/>
    <x v="1"/>
    <x v="4"/>
    <s v="Dr. Nisha"/>
    <x v="4"/>
    <n v="25742.18"/>
    <n v="2"/>
    <x v="1"/>
    <s v="B+"/>
    <x v="1"/>
    <s v="Recovered"/>
  </r>
  <r>
    <x v="117"/>
    <s v="2026-02-01"/>
    <x v="29"/>
    <x v="0"/>
    <x v="3"/>
    <s v="Dr. Anil"/>
    <x v="0"/>
    <n v="109581.43"/>
    <n v="17"/>
    <x v="0"/>
    <s v="O-"/>
    <x v="0"/>
    <s v="Recovered"/>
  </r>
  <r>
    <x v="118"/>
    <s v="2025-12-06"/>
    <x v="57"/>
    <x v="0"/>
    <x v="0"/>
    <s v="Dr. Meera"/>
    <x v="4"/>
    <n v="92451.3"/>
    <n v="4"/>
    <x v="0"/>
    <s v="AB+"/>
    <x v="2"/>
    <s v="Under Treatment"/>
  </r>
  <r>
    <x v="119"/>
    <s v="2025-06-10"/>
    <x v="44"/>
    <x v="0"/>
    <x v="2"/>
    <s v="Dr. Arun"/>
    <x v="4"/>
    <n v="59954.95"/>
    <n v="1"/>
    <x v="1"/>
    <s v="B-"/>
    <x v="5"/>
    <s v="Under Treatment"/>
  </r>
  <r>
    <x v="120"/>
    <s v="2025-12-04"/>
    <x v="13"/>
    <x v="1"/>
    <x v="5"/>
    <s v="Dr. Meera"/>
    <x v="2"/>
    <n v="51143.09"/>
    <n v="6"/>
    <x v="0"/>
    <s v="A-"/>
    <x v="2"/>
    <s v="Recovered"/>
  </r>
  <r>
    <x v="121"/>
    <s v="2026-05-19"/>
    <x v="20"/>
    <x v="0"/>
    <x v="3"/>
    <s v="Dr. Anil"/>
    <x v="2"/>
    <n v="71382.91"/>
    <n v="19"/>
    <x v="1"/>
    <s v="B-"/>
    <x v="0"/>
    <s v="Recovered"/>
  </r>
  <r>
    <x v="122"/>
    <s v="2026-04-11"/>
    <x v="66"/>
    <x v="1"/>
    <x v="4"/>
    <s v="Dr. Meera"/>
    <x v="0"/>
    <n v="51270.48"/>
    <n v="16"/>
    <x v="1"/>
    <s v="A-"/>
    <x v="2"/>
    <s v="Referred"/>
  </r>
  <r>
    <x v="123"/>
    <s v="2026-02-11"/>
    <x v="45"/>
    <x v="0"/>
    <x v="3"/>
    <s v="Dr. Arun"/>
    <x v="0"/>
    <n v="126444.58"/>
    <n v="20"/>
    <x v="1"/>
    <s v="AB+"/>
    <x v="2"/>
    <s v="Recovered"/>
  </r>
  <r>
    <x v="124"/>
    <s v="2025-10-14"/>
    <x v="8"/>
    <x v="0"/>
    <x v="1"/>
    <s v="Dr. Rahul"/>
    <x v="2"/>
    <n v="15345.79"/>
    <n v="5"/>
    <x v="1"/>
    <s v="A+"/>
    <x v="3"/>
    <s v="Recovered"/>
  </r>
  <r>
    <x v="125"/>
    <s v="2025-06-04"/>
    <x v="67"/>
    <x v="0"/>
    <x v="4"/>
    <s v="Dr. Meera"/>
    <x v="3"/>
    <n v="25260.89"/>
    <n v="3"/>
    <x v="0"/>
    <s v="A-"/>
    <x v="4"/>
    <s v="Under Treatment"/>
  </r>
  <r>
    <x v="126"/>
    <s v="2025-08-24"/>
    <x v="16"/>
    <x v="0"/>
    <x v="0"/>
    <s v="Dr. Anil"/>
    <x v="3"/>
    <n v="54216.45"/>
    <n v="18"/>
    <x v="1"/>
    <s v="B-"/>
    <x v="1"/>
    <s v="Recovered"/>
  </r>
  <r>
    <x v="127"/>
    <s v="2026-01-14"/>
    <x v="68"/>
    <x v="0"/>
    <x v="5"/>
    <s v="Dr. Rahul"/>
    <x v="0"/>
    <n v="84080.76"/>
    <n v="11"/>
    <x v="1"/>
    <s v="A-"/>
    <x v="3"/>
    <s v="Referred"/>
  </r>
  <r>
    <x v="128"/>
    <s v="2025-03-25"/>
    <x v="69"/>
    <x v="1"/>
    <x v="0"/>
    <s v="Dr. Rahul"/>
    <x v="2"/>
    <n v="101177.17"/>
    <n v="17"/>
    <x v="0"/>
    <s v="O-"/>
    <x v="1"/>
    <s v="Referred"/>
  </r>
  <r>
    <x v="129"/>
    <s v="2025-07-17"/>
    <x v="70"/>
    <x v="0"/>
    <x v="2"/>
    <s v="Dr. Meera"/>
    <x v="5"/>
    <n v="102667.86"/>
    <n v="15"/>
    <x v="1"/>
    <s v="A+"/>
    <x v="3"/>
    <s v="Under Treatment"/>
  </r>
  <r>
    <x v="130"/>
    <s v="2026-01-18"/>
    <x v="21"/>
    <x v="1"/>
    <x v="2"/>
    <s v="Dr. Anil"/>
    <x v="3"/>
    <n v="21994.95"/>
    <n v="14"/>
    <x v="0"/>
    <s v="O-"/>
    <x v="5"/>
    <s v="Recovered"/>
  </r>
  <r>
    <x v="131"/>
    <s v="2026-02-20"/>
    <x v="6"/>
    <x v="1"/>
    <x v="0"/>
    <s v="Dr. Nisha"/>
    <x v="3"/>
    <n v="5678.03"/>
    <n v="5"/>
    <x v="0"/>
    <s v="O-"/>
    <x v="4"/>
    <s v="Under Treatment"/>
  </r>
  <r>
    <x v="132"/>
    <s v="2025-11-03"/>
    <x v="22"/>
    <x v="0"/>
    <x v="5"/>
    <s v="Dr. Meera"/>
    <x v="1"/>
    <n v="146186.45000000001"/>
    <n v="9"/>
    <x v="1"/>
    <s v="O-"/>
    <x v="4"/>
    <s v="Under Treatment"/>
  </r>
  <r>
    <x v="133"/>
    <s v="2025-09-26"/>
    <x v="18"/>
    <x v="0"/>
    <x v="5"/>
    <s v="Dr. Anil"/>
    <x v="5"/>
    <n v="20970.71"/>
    <n v="15"/>
    <x v="0"/>
    <s v="O-"/>
    <x v="2"/>
    <s v="Under Treatment"/>
  </r>
  <r>
    <x v="134"/>
    <s v="2025-03-06"/>
    <x v="18"/>
    <x v="0"/>
    <x v="0"/>
    <s v="Dr. Rahul"/>
    <x v="4"/>
    <n v="135598.94"/>
    <n v="4"/>
    <x v="0"/>
    <s v="A+"/>
    <x v="3"/>
    <s v="Referred"/>
  </r>
  <r>
    <x v="135"/>
    <s v="2025-03-22"/>
    <x v="53"/>
    <x v="1"/>
    <x v="0"/>
    <s v="Dr. Rahul"/>
    <x v="1"/>
    <n v="141890.85"/>
    <n v="17"/>
    <x v="1"/>
    <s v="AB+"/>
    <x v="2"/>
    <s v="Under Treatment"/>
  </r>
  <r>
    <x v="136"/>
    <s v="2025-11-09"/>
    <x v="37"/>
    <x v="0"/>
    <x v="3"/>
    <s v="Dr. Anil"/>
    <x v="0"/>
    <n v="110883.82"/>
    <n v="18"/>
    <x v="0"/>
    <s v="O+"/>
    <x v="5"/>
    <s v="Referred"/>
  </r>
  <r>
    <x v="137"/>
    <s v="2026-05-21"/>
    <x v="64"/>
    <x v="1"/>
    <x v="3"/>
    <s v="Dr. Priya"/>
    <x v="1"/>
    <n v="109898"/>
    <n v="10"/>
    <x v="1"/>
    <s v="O+"/>
    <x v="5"/>
    <s v="Under Treatment"/>
  </r>
  <r>
    <x v="138"/>
    <s v="2026-05-16"/>
    <x v="64"/>
    <x v="1"/>
    <x v="1"/>
    <s v="Dr. Rahul"/>
    <x v="2"/>
    <n v="41756.33"/>
    <n v="8"/>
    <x v="0"/>
    <s v="B-"/>
    <x v="4"/>
    <s v="Recovered"/>
  </r>
  <r>
    <x v="139"/>
    <s v="2025-09-01"/>
    <x v="31"/>
    <x v="1"/>
    <x v="1"/>
    <s v="Dr. Anil"/>
    <x v="5"/>
    <n v="75126.36"/>
    <n v="19"/>
    <x v="0"/>
    <s v="O-"/>
    <x v="2"/>
    <s v="Recovered"/>
  </r>
  <r>
    <x v="140"/>
    <s v="2026-04-11"/>
    <x v="6"/>
    <x v="1"/>
    <x v="3"/>
    <s v="Dr. Nisha"/>
    <x v="2"/>
    <n v="65444.45"/>
    <n v="13"/>
    <x v="0"/>
    <s v="AB+"/>
    <x v="2"/>
    <s v="Referred"/>
  </r>
  <r>
    <x v="141"/>
    <s v="2026-05-28"/>
    <x v="36"/>
    <x v="0"/>
    <x v="0"/>
    <s v="Dr. Meera"/>
    <x v="0"/>
    <n v="25052.99"/>
    <n v="17"/>
    <x v="1"/>
    <s v="O-"/>
    <x v="0"/>
    <s v="Referred"/>
  </r>
  <r>
    <x v="142"/>
    <s v="2025-09-09"/>
    <x v="71"/>
    <x v="0"/>
    <x v="2"/>
    <s v="Dr. Meera"/>
    <x v="5"/>
    <n v="147928.82999999999"/>
    <n v="4"/>
    <x v="1"/>
    <s v="A+"/>
    <x v="2"/>
    <s v="Referred"/>
  </r>
  <r>
    <x v="143"/>
    <s v="2025-12-28"/>
    <x v="72"/>
    <x v="0"/>
    <x v="0"/>
    <s v="Dr. Anil"/>
    <x v="2"/>
    <n v="78864.61"/>
    <n v="6"/>
    <x v="0"/>
    <s v="B-"/>
    <x v="1"/>
    <s v="Referred"/>
  </r>
  <r>
    <x v="144"/>
    <s v="2025-03-11"/>
    <x v="70"/>
    <x v="0"/>
    <x v="4"/>
    <s v="Dr. Priya"/>
    <x v="4"/>
    <n v="101460.08"/>
    <n v="9"/>
    <x v="1"/>
    <s v="A+"/>
    <x v="5"/>
    <s v="Referred"/>
  </r>
  <r>
    <x v="145"/>
    <s v="2025-06-24"/>
    <x v="10"/>
    <x v="1"/>
    <x v="1"/>
    <s v="Dr. Priya"/>
    <x v="0"/>
    <n v="24932.14"/>
    <n v="19"/>
    <x v="0"/>
    <s v="AB-"/>
    <x v="2"/>
    <s v="Recovered"/>
  </r>
  <r>
    <x v="146"/>
    <s v="2025-05-17"/>
    <x v="54"/>
    <x v="0"/>
    <x v="2"/>
    <s v="Dr. Rahul"/>
    <x v="3"/>
    <n v="32625.22"/>
    <n v="16"/>
    <x v="0"/>
    <s v="O+"/>
    <x v="0"/>
    <s v="Under Treatment"/>
  </r>
  <r>
    <x v="147"/>
    <s v="2025-08-07"/>
    <x v="8"/>
    <x v="1"/>
    <x v="4"/>
    <s v="Dr. Arun"/>
    <x v="2"/>
    <n v="105087.75"/>
    <n v="5"/>
    <x v="1"/>
    <s v="O-"/>
    <x v="4"/>
    <s v="Referred"/>
  </r>
  <r>
    <x v="148"/>
    <s v="2026-06-12"/>
    <x v="13"/>
    <x v="1"/>
    <x v="4"/>
    <s v="Dr. Rahul"/>
    <x v="3"/>
    <n v="29035.93"/>
    <n v="8"/>
    <x v="0"/>
    <s v="O+"/>
    <x v="2"/>
    <s v="Recovered"/>
  </r>
  <r>
    <x v="149"/>
    <s v="2025-10-19"/>
    <x v="39"/>
    <x v="1"/>
    <x v="4"/>
    <s v="Dr. Arun"/>
    <x v="5"/>
    <n v="58040.93"/>
    <n v="4"/>
    <x v="1"/>
    <s v="AB+"/>
    <x v="0"/>
    <s v="Referred"/>
  </r>
  <r>
    <x v="150"/>
    <s v="2026-06-11"/>
    <x v="16"/>
    <x v="1"/>
    <x v="3"/>
    <s v="Dr. Anil"/>
    <x v="4"/>
    <n v="10306.5"/>
    <n v="9"/>
    <x v="0"/>
    <s v="B-"/>
    <x v="4"/>
    <s v="Recovered"/>
  </r>
  <r>
    <x v="151"/>
    <s v="2025-02-21"/>
    <x v="73"/>
    <x v="1"/>
    <x v="5"/>
    <s v="Dr. Nisha"/>
    <x v="3"/>
    <n v="32937.39"/>
    <n v="18"/>
    <x v="1"/>
    <s v="AB-"/>
    <x v="5"/>
    <s v="Referred"/>
  </r>
  <r>
    <x v="152"/>
    <s v="2025-02-05"/>
    <x v="27"/>
    <x v="0"/>
    <x v="3"/>
    <s v="Dr. Priya"/>
    <x v="4"/>
    <n v="33478.21"/>
    <n v="13"/>
    <x v="1"/>
    <s v="A+"/>
    <x v="4"/>
    <s v="Under Treatment"/>
  </r>
  <r>
    <x v="153"/>
    <s v="2025-08-17"/>
    <x v="64"/>
    <x v="0"/>
    <x v="0"/>
    <s v="Dr. Anil"/>
    <x v="4"/>
    <n v="56576.81"/>
    <n v="8"/>
    <x v="0"/>
    <s v="A-"/>
    <x v="2"/>
    <s v="Recovered"/>
  </r>
  <r>
    <x v="154"/>
    <s v="2026-04-04"/>
    <x v="15"/>
    <x v="1"/>
    <x v="3"/>
    <s v="Dr. Anil"/>
    <x v="4"/>
    <n v="104910.8"/>
    <n v="4"/>
    <x v="0"/>
    <s v="O+"/>
    <x v="4"/>
    <s v="Under Treatment"/>
  </r>
  <r>
    <x v="155"/>
    <s v="2025-11-01"/>
    <x v="33"/>
    <x v="1"/>
    <x v="1"/>
    <s v="Dr. Arun"/>
    <x v="2"/>
    <n v="68124.19"/>
    <n v="17"/>
    <x v="0"/>
    <s v="AB-"/>
    <x v="0"/>
    <s v="Recovered"/>
  </r>
  <r>
    <x v="156"/>
    <s v="2025-11-15"/>
    <x v="14"/>
    <x v="0"/>
    <x v="1"/>
    <s v="Dr. Priya"/>
    <x v="5"/>
    <n v="32817.93"/>
    <n v="15"/>
    <x v="0"/>
    <s v="A+"/>
    <x v="5"/>
    <s v="Referred"/>
  </r>
  <r>
    <x v="157"/>
    <s v="2026-06-14"/>
    <x v="67"/>
    <x v="1"/>
    <x v="4"/>
    <s v="Dr. Arun"/>
    <x v="4"/>
    <n v="149893.07999999999"/>
    <n v="16"/>
    <x v="0"/>
    <s v="O+"/>
    <x v="2"/>
    <s v="Referred"/>
  </r>
  <r>
    <x v="158"/>
    <s v="2025-07-10"/>
    <x v="10"/>
    <x v="1"/>
    <x v="3"/>
    <s v="Dr. Nisha"/>
    <x v="4"/>
    <n v="121408.64"/>
    <n v="19"/>
    <x v="0"/>
    <s v="AB+"/>
    <x v="3"/>
    <s v="Referred"/>
  </r>
  <r>
    <x v="159"/>
    <s v="2025-05-31"/>
    <x v="47"/>
    <x v="1"/>
    <x v="0"/>
    <s v="Dr. Priya"/>
    <x v="2"/>
    <n v="48789.760000000002"/>
    <n v="13"/>
    <x v="1"/>
    <s v="AB+"/>
    <x v="2"/>
    <s v="Recovered"/>
  </r>
  <r>
    <x v="160"/>
    <s v="2025-10-05"/>
    <x v="11"/>
    <x v="0"/>
    <x v="3"/>
    <s v="Dr. Rahul"/>
    <x v="2"/>
    <n v="45410.67"/>
    <n v="11"/>
    <x v="0"/>
    <s v="B-"/>
    <x v="4"/>
    <s v="Under Treatment"/>
  </r>
  <r>
    <x v="161"/>
    <s v="2026-03-27"/>
    <x v="71"/>
    <x v="0"/>
    <x v="3"/>
    <s v="Dr. Rahul"/>
    <x v="1"/>
    <n v="74230.320000000007"/>
    <n v="18"/>
    <x v="1"/>
    <s v="AB-"/>
    <x v="3"/>
    <s v="Referred"/>
  </r>
  <r>
    <x v="162"/>
    <s v="2025-04-22"/>
    <x v="21"/>
    <x v="1"/>
    <x v="3"/>
    <s v="Dr. Arun"/>
    <x v="2"/>
    <n v="57674.43"/>
    <n v="9"/>
    <x v="0"/>
    <s v="A+"/>
    <x v="5"/>
    <s v="Under Treatment"/>
  </r>
  <r>
    <x v="163"/>
    <s v="2025-02-05"/>
    <x v="15"/>
    <x v="1"/>
    <x v="2"/>
    <s v="Dr. Arun"/>
    <x v="5"/>
    <n v="85242.49"/>
    <n v="9"/>
    <x v="1"/>
    <s v="O+"/>
    <x v="2"/>
    <s v="Recovered"/>
  </r>
  <r>
    <x v="164"/>
    <s v="2025-09-09"/>
    <x v="44"/>
    <x v="0"/>
    <x v="5"/>
    <s v="Dr. Nisha"/>
    <x v="1"/>
    <n v="49456.72"/>
    <n v="18"/>
    <x v="1"/>
    <s v="B-"/>
    <x v="3"/>
    <s v="Under Treatment"/>
  </r>
  <r>
    <x v="165"/>
    <s v="2026-02-20"/>
    <x v="36"/>
    <x v="1"/>
    <x v="5"/>
    <s v="Dr. Nisha"/>
    <x v="4"/>
    <n v="30937.09"/>
    <n v="19"/>
    <x v="1"/>
    <s v="B+"/>
    <x v="5"/>
    <s v="Under Treatment"/>
  </r>
  <r>
    <x v="166"/>
    <s v="2025-02-23"/>
    <x v="45"/>
    <x v="1"/>
    <x v="0"/>
    <s v="Dr. Rahul"/>
    <x v="0"/>
    <n v="100729.28"/>
    <n v="20"/>
    <x v="1"/>
    <s v="O+"/>
    <x v="3"/>
    <s v="Recovered"/>
  </r>
  <r>
    <x v="167"/>
    <s v="2026-05-05"/>
    <x v="37"/>
    <x v="0"/>
    <x v="0"/>
    <s v="Dr. Meera"/>
    <x v="0"/>
    <n v="120418.46"/>
    <n v="1"/>
    <x v="1"/>
    <s v="B-"/>
    <x v="4"/>
    <s v="Under Treatment"/>
  </r>
  <r>
    <x v="168"/>
    <s v="2025-12-04"/>
    <x v="41"/>
    <x v="0"/>
    <x v="2"/>
    <s v="Dr. Priya"/>
    <x v="1"/>
    <n v="147890"/>
    <n v="12"/>
    <x v="1"/>
    <s v="A+"/>
    <x v="3"/>
    <s v="Under Treatment"/>
  </r>
  <r>
    <x v="169"/>
    <s v="2025-02-14"/>
    <x v="9"/>
    <x v="0"/>
    <x v="3"/>
    <s v="Dr. Priya"/>
    <x v="1"/>
    <n v="111204.48"/>
    <n v="10"/>
    <x v="1"/>
    <s v="B+"/>
    <x v="0"/>
    <s v="Under Treatment"/>
  </r>
  <r>
    <x v="170"/>
    <s v="2026-02-09"/>
    <x v="74"/>
    <x v="1"/>
    <x v="0"/>
    <s v="Dr. Rahul"/>
    <x v="2"/>
    <n v="19189.259999999998"/>
    <n v="16"/>
    <x v="1"/>
    <s v="B-"/>
    <x v="2"/>
    <s v="Recovered"/>
  </r>
  <r>
    <x v="171"/>
    <s v="2026-01-04"/>
    <x v="75"/>
    <x v="0"/>
    <x v="0"/>
    <s v="Dr. Meera"/>
    <x v="4"/>
    <n v="3994.9"/>
    <n v="4"/>
    <x v="1"/>
    <s v="A+"/>
    <x v="4"/>
    <s v="Recovered"/>
  </r>
  <r>
    <x v="172"/>
    <s v="2025-12-11"/>
    <x v="16"/>
    <x v="1"/>
    <x v="0"/>
    <s v="Dr. Arun"/>
    <x v="4"/>
    <n v="111842.26"/>
    <n v="18"/>
    <x v="1"/>
    <s v="A+"/>
    <x v="5"/>
    <s v="Referred"/>
  </r>
  <r>
    <x v="173"/>
    <s v="2026-02-28"/>
    <x v="20"/>
    <x v="0"/>
    <x v="3"/>
    <s v="Dr. Nisha"/>
    <x v="0"/>
    <n v="123570.79"/>
    <n v="16"/>
    <x v="1"/>
    <s v="A-"/>
    <x v="5"/>
    <s v="Recovered"/>
  </r>
  <r>
    <x v="174"/>
    <s v="2026-02-02"/>
    <x v="76"/>
    <x v="1"/>
    <x v="5"/>
    <s v="Dr. Arun"/>
    <x v="5"/>
    <n v="4318.79"/>
    <n v="11"/>
    <x v="1"/>
    <s v="O-"/>
    <x v="1"/>
    <s v="Recovered"/>
  </r>
  <r>
    <x v="175"/>
    <s v="2026-02-24"/>
    <x v="55"/>
    <x v="1"/>
    <x v="0"/>
    <s v="Dr. Anil"/>
    <x v="5"/>
    <n v="135580.44"/>
    <n v="18"/>
    <x v="1"/>
    <s v="O+"/>
    <x v="3"/>
    <s v="Referred"/>
  </r>
  <r>
    <x v="176"/>
    <s v="2026-03-19"/>
    <x v="32"/>
    <x v="0"/>
    <x v="2"/>
    <s v="Dr. Rahul"/>
    <x v="1"/>
    <n v="121579.79"/>
    <n v="15"/>
    <x v="1"/>
    <s v="AB-"/>
    <x v="3"/>
    <s v="Referred"/>
  </r>
  <r>
    <x v="177"/>
    <s v="2025-01-16"/>
    <x v="42"/>
    <x v="1"/>
    <x v="4"/>
    <s v="Dr. Nisha"/>
    <x v="4"/>
    <n v="83451.149999999994"/>
    <n v="18"/>
    <x v="0"/>
    <s v="AB+"/>
    <x v="1"/>
    <s v="Recovered"/>
  </r>
  <r>
    <x v="178"/>
    <s v="2026-06-05"/>
    <x v="43"/>
    <x v="1"/>
    <x v="1"/>
    <s v="Dr. Meera"/>
    <x v="1"/>
    <n v="38093.03"/>
    <n v="8"/>
    <x v="0"/>
    <s v="AB-"/>
    <x v="5"/>
    <s v="Under Treatment"/>
  </r>
  <r>
    <x v="179"/>
    <s v="2025-12-25"/>
    <x v="48"/>
    <x v="0"/>
    <x v="2"/>
    <s v="Dr. Nisha"/>
    <x v="1"/>
    <n v="76559.8"/>
    <n v="17"/>
    <x v="0"/>
    <s v="O-"/>
    <x v="4"/>
    <s v="Recovered"/>
  </r>
  <r>
    <x v="180"/>
    <s v="2025-12-22"/>
    <x v="44"/>
    <x v="0"/>
    <x v="3"/>
    <s v="Dr. Priya"/>
    <x v="5"/>
    <n v="122605.94"/>
    <n v="8"/>
    <x v="0"/>
    <s v="AB+"/>
    <x v="2"/>
    <s v="Under Treatment"/>
  </r>
  <r>
    <x v="181"/>
    <s v="2026-05-30"/>
    <x v="37"/>
    <x v="1"/>
    <x v="0"/>
    <s v="Dr. Nisha"/>
    <x v="0"/>
    <n v="10216.67"/>
    <n v="16"/>
    <x v="1"/>
    <s v="O+"/>
    <x v="0"/>
    <s v="Under Treatment"/>
  </r>
  <r>
    <x v="182"/>
    <s v="2025-04-15"/>
    <x v="61"/>
    <x v="0"/>
    <x v="2"/>
    <s v="Dr. Arun"/>
    <x v="3"/>
    <n v="142487.32999999999"/>
    <n v="16"/>
    <x v="0"/>
    <s v="A-"/>
    <x v="0"/>
    <s v="Referred"/>
  </r>
  <r>
    <x v="183"/>
    <s v="2025-05-09"/>
    <x v="26"/>
    <x v="1"/>
    <x v="2"/>
    <s v="Dr. Rahul"/>
    <x v="2"/>
    <n v="35485.79"/>
    <n v="19"/>
    <x v="1"/>
    <s v="A-"/>
    <x v="0"/>
    <s v="Recovered"/>
  </r>
  <r>
    <x v="184"/>
    <s v="2026-05-16"/>
    <x v="1"/>
    <x v="1"/>
    <x v="0"/>
    <s v="Dr. Nisha"/>
    <x v="0"/>
    <n v="3554.05"/>
    <n v="2"/>
    <x v="0"/>
    <s v="A-"/>
    <x v="5"/>
    <s v="Referred"/>
  </r>
  <r>
    <x v="185"/>
    <s v="2026-05-18"/>
    <x v="77"/>
    <x v="0"/>
    <x v="1"/>
    <s v="Dr. Priya"/>
    <x v="3"/>
    <n v="102310.87"/>
    <n v="9"/>
    <x v="0"/>
    <s v="A+"/>
    <x v="5"/>
    <s v="Under Treatment"/>
  </r>
  <r>
    <x v="186"/>
    <s v="2026-06-24"/>
    <x v="65"/>
    <x v="1"/>
    <x v="0"/>
    <s v="Dr. Meera"/>
    <x v="3"/>
    <n v="8877.7000000000007"/>
    <n v="3"/>
    <x v="1"/>
    <s v="A-"/>
    <x v="2"/>
    <s v="Under Treatment"/>
  </r>
  <r>
    <x v="187"/>
    <s v="2025-10-12"/>
    <x v="78"/>
    <x v="1"/>
    <x v="1"/>
    <s v="Dr. Nisha"/>
    <x v="2"/>
    <n v="148456.74"/>
    <n v="14"/>
    <x v="0"/>
    <s v="O-"/>
    <x v="4"/>
    <s v="Recovered"/>
  </r>
  <r>
    <x v="188"/>
    <s v="2025-06-15"/>
    <x v="38"/>
    <x v="1"/>
    <x v="5"/>
    <s v="Dr. Priya"/>
    <x v="5"/>
    <n v="36340.410000000003"/>
    <n v="15"/>
    <x v="0"/>
    <s v="A+"/>
    <x v="0"/>
    <s v="Referred"/>
  </r>
  <r>
    <x v="189"/>
    <s v="2025-02-16"/>
    <x v="20"/>
    <x v="0"/>
    <x v="2"/>
    <s v="Dr. Meera"/>
    <x v="4"/>
    <n v="13601.29"/>
    <n v="3"/>
    <x v="0"/>
    <s v="B-"/>
    <x v="0"/>
    <s v="Under Treatment"/>
  </r>
  <r>
    <x v="190"/>
    <s v="2025-12-09"/>
    <x v="79"/>
    <x v="0"/>
    <x v="5"/>
    <s v="Dr. Arun"/>
    <x v="4"/>
    <n v="108190.61"/>
    <n v="9"/>
    <x v="1"/>
    <s v="A+"/>
    <x v="3"/>
    <s v="Under Treatment"/>
  </r>
  <r>
    <x v="191"/>
    <s v="2025-06-25"/>
    <x v="8"/>
    <x v="0"/>
    <x v="3"/>
    <s v="Dr. Arun"/>
    <x v="4"/>
    <n v="128462.83"/>
    <n v="8"/>
    <x v="0"/>
    <s v="O-"/>
    <x v="5"/>
    <s v="Referred"/>
  </r>
  <r>
    <x v="192"/>
    <s v="2026-02-09"/>
    <x v="23"/>
    <x v="1"/>
    <x v="1"/>
    <s v="Dr. Arun"/>
    <x v="1"/>
    <n v="109267.48"/>
    <n v="8"/>
    <x v="0"/>
    <s v="B+"/>
    <x v="2"/>
    <s v="Under Treatment"/>
  </r>
  <r>
    <x v="193"/>
    <s v="2026-04-03"/>
    <x v="47"/>
    <x v="0"/>
    <x v="5"/>
    <s v="Dr. Meera"/>
    <x v="1"/>
    <n v="78897.33"/>
    <n v="9"/>
    <x v="0"/>
    <s v="AB+"/>
    <x v="3"/>
    <s v="Referred"/>
  </r>
  <r>
    <x v="194"/>
    <s v="2026-04-24"/>
    <x v="20"/>
    <x v="1"/>
    <x v="0"/>
    <s v="Dr. Meera"/>
    <x v="5"/>
    <n v="132288.54999999999"/>
    <n v="5"/>
    <x v="1"/>
    <s v="B+"/>
    <x v="2"/>
    <s v="Recovered"/>
  </r>
  <r>
    <x v="195"/>
    <s v="2026-04-01"/>
    <x v="63"/>
    <x v="1"/>
    <x v="4"/>
    <s v="Dr. Anil"/>
    <x v="2"/>
    <n v="8483.65"/>
    <n v="11"/>
    <x v="0"/>
    <s v="O+"/>
    <x v="2"/>
    <s v="Referred"/>
  </r>
  <r>
    <x v="196"/>
    <s v="2025-10-11"/>
    <x v="80"/>
    <x v="1"/>
    <x v="1"/>
    <s v="Dr. Priya"/>
    <x v="2"/>
    <n v="83443.61"/>
    <n v="7"/>
    <x v="1"/>
    <s v="B+"/>
    <x v="2"/>
    <s v="Referred"/>
  </r>
  <r>
    <x v="197"/>
    <s v="2026-05-16"/>
    <x v="10"/>
    <x v="0"/>
    <x v="3"/>
    <s v="Dr. Meera"/>
    <x v="1"/>
    <n v="77121.72"/>
    <n v="10"/>
    <x v="1"/>
    <s v="AB+"/>
    <x v="1"/>
    <s v="Recovered"/>
  </r>
  <r>
    <x v="198"/>
    <s v="2025-02-12"/>
    <x v="45"/>
    <x v="1"/>
    <x v="0"/>
    <s v="Dr. Meera"/>
    <x v="0"/>
    <n v="107639.07"/>
    <n v="3"/>
    <x v="0"/>
    <s v="AB+"/>
    <x v="1"/>
    <s v="Referred"/>
  </r>
  <r>
    <x v="199"/>
    <s v="2026-03-17"/>
    <x v="81"/>
    <x v="0"/>
    <x v="2"/>
    <s v="Dr. Arun"/>
    <x v="0"/>
    <n v="59025.71"/>
    <n v="7"/>
    <x v="0"/>
    <s v="B+"/>
    <x v="0"/>
    <s v="Under Treatment"/>
  </r>
  <r>
    <x v="200"/>
    <s v="2026-05-08"/>
    <x v="7"/>
    <x v="1"/>
    <x v="2"/>
    <s v="Dr. Arun"/>
    <x v="5"/>
    <n v="8001.32"/>
    <n v="10"/>
    <x v="1"/>
    <s v="A-"/>
    <x v="0"/>
    <s v="Referred"/>
  </r>
  <r>
    <x v="201"/>
    <s v="2026-03-02"/>
    <x v="45"/>
    <x v="0"/>
    <x v="2"/>
    <s v="Dr. Meera"/>
    <x v="3"/>
    <n v="82475.39"/>
    <n v="19"/>
    <x v="1"/>
    <s v="A+"/>
    <x v="0"/>
    <s v="Under Treatment"/>
  </r>
  <r>
    <x v="202"/>
    <s v="2026-02-01"/>
    <x v="31"/>
    <x v="1"/>
    <x v="3"/>
    <s v="Dr. Rahul"/>
    <x v="5"/>
    <n v="105409.12"/>
    <n v="11"/>
    <x v="1"/>
    <s v="B+"/>
    <x v="1"/>
    <s v="Under Treatment"/>
  </r>
  <r>
    <x v="203"/>
    <s v="2026-06-20"/>
    <x v="75"/>
    <x v="0"/>
    <x v="4"/>
    <s v="Dr. Anil"/>
    <x v="3"/>
    <n v="88650.22"/>
    <n v="11"/>
    <x v="1"/>
    <s v="B+"/>
    <x v="1"/>
    <s v="Recovered"/>
  </r>
  <r>
    <x v="204"/>
    <s v="2025-06-15"/>
    <x v="72"/>
    <x v="0"/>
    <x v="0"/>
    <s v="Dr. Arun"/>
    <x v="3"/>
    <n v="99458.77"/>
    <n v="20"/>
    <x v="0"/>
    <s v="AB-"/>
    <x v="1"/>
    <s v="Referred"/>
  </r>
  <r>
    <x v="205"/>
    <s v="2025-05-25"/>
    <x v="43"/>
    <x v="0"/>
    <x v="5"/>
    <s v="Dr. Rahul"/>
    <x v="5"/>
    <n v="106411.08"/>
    <n v="8"/>
    <x v="0"/>
    <s v="B-"/>
    <x v="1"/>
    <s v="Recovered"/>
  </r>
  <r>
    <x v="206"/>
    <s v="2025-01-18"/>
    <x v="73"/>
    <x v="1"/>
    <x v="5"/>
    <s v="Dr. Rahul"/>
    <x v="3"/>
    <n v="102774.9"/>
    <n v="3"/>
    <x v="1"/>
    <s v="O-"/>
    <x v="1"/>
    <s v="Referred"/>
  </r>
  <r>
    <x v="207"/>
    <s v="2025-06-21"/>
    <x v="53"/>
    <x v="0"/>
    <x v="2"/>
    <s v="Dr. Meera"/>
    <x v="1"/>
    <n v="106053.36"/>
    <n v="5"/>
    <x v="0"/>
    <s v="B-"/>
    <x v="4"/>
    <s v="Recovered"/>
  </r>
  <r>
    <x v="208"/>
    <s v="2025-11-14"/>
    <x v="67"/>
    <x v="1"/>
    <x v="4"/>
    <s v="Dr. Arun"/>
    <x v="5"/>
    <n v="37680.35"/>
    <n v="1"/>
    <x v="0"/>
    <s v="O-"/>
    <x v="1"/>
    <s v="Referred"/>
  </r>
  <r>
    <x v="209"/>
    <s v="2025-07-09"/>
    <x v="48"/>
    <x v="0"/>
    <x v="0"/>
    <s v="Dr. Arun"/>
    <x v="3"/>
    <n v="64867.48"/>
    <n v="13"/>
    <x v="1"/>
    <s v="A+"/>
    <x v="4"/>
    <s v="Under Treatment"/>
  </r>
  <r>
    <x v="210"/>
    <s v="2025-05-19"/>
    <x v="58"/>
    <x v="1"/>
    <x v="5"/>
    <s v="Dr. Meera"/>
    <x v="3"/>
    <n v="102196.08"/>
    <n v="12"/>
    <x v="1"/>
    <s v="AB-"/>
    <x v="5"/>
    <s v="Under Treatment"/>
  </r>
  <r>
    <x v="211"/>
    <s v="2025-05-30"/>
    <x v="82"/>
    <x v="1"/>
    <x v="0"/>
    <s v="Dr. Rahul"/>
    <x v="5"/>
    <n v="1098.8800000000001"/>
    <n v="8"/>
    <x v="1"/>
    <s v="B+"/>
    <x v="2"/>
    <s v="Referred"/>
  </r>
  <r>
    <x v="212"/>
    <s v="2026-01-18"/>
    <x v="7"/>
    <x v="0"/>
    <x v="0"/>
    <s v="Dr. Nisha"/>
    <x v="5"/>
    <n v="143836.34"/>
    <n v="4"/>
    <x v="0"/>
    <s v="B-"/>
    <x v="5"/>
    <s v="Under Treatment"/>
  </r>
  <r>
    <x v="213"/>
    <s v="2026-01-05"/>
    <x v="77"/>
    <x v="1"/>
    <x v="1"/>
    <s v="Dr. Rahul"/>
    <x v="1"/>
    <n v="50268.69"/>
    <n v="6"/>
    <x v="0"/>
    <s v="O+"/>
    <x v="1"/>
    <s v="Referred"/>
  </r>
  <r>
    <x v="214"/>
    <s v="2025-04-13"/>
    <x v="7"/>
    <x v="1"/>
    <x v="1"/>
    <s v="Dr. Arun"/>
    <x v="0"/>
    <n v="56414.05"/>
    <n v="5"/>
    <x v="0"/>
    <s v="B+"/>
    <x v="0"/>
    <s v="Referred"/>
  </r>
  <r>
    <x v="215"/>
    <s v="2026-03-27"/>
    <x v="30"/>
    <x v="1"/>
    <x v="4"/>
    <s v="Dr. Priya"/>
    <x v="0"/>
    <n v="8189.27"/>
    <n v="14"/>
    <x v="0"/>
    <s v="B+"/>
    <x v="5"/>
    <s v="Referred"/>
  </r>
  <r>
    <x v="216"/>
    <s v="2025-07-24"/>
    <x v="3"/>
    <x v="1"/>
    <x v="4"/>
    <s v="Dr. Nisha"/>
    <x v="1"/>
    <n v="121651.09"/>
    <n v="16"/>
    <x v="1"/>
    <s v="AB-"/>
    <x v="2"/>
    <s v="Referred"/>
  </r>
  <r>
    <x v="217"/>
    <s v="2025-12-26"/>
    <x v="70"/>
    <x v="0"/>
    <x v="4"/>
    <s v="Dr. Nisha"/>
    <x v="3"/>
    <n v="15232.6"/>
    <n v="13"/>
    <x v="0"/>
    <s v="A-"/>
    <x v="1"/>
    <s v="Recovered"/>
  </r>
  <r>
    <x v="218"/>
    <s v="2025-05-14"/>
    <x v="14"/>
    <x v="1"/>
    <x v="5"/>
    <s v="Dr. Anil"/>
    <x v="4"/>
    <n v="111661.42"/>
    <n v="11"/>
    <x v="1"/>
    <s v="A-"/>
    <x v="0"/>
    <s v="Under Treatment"/>
  </r>
  <r>
    <x v="219"/>
    <s v="2025-05-29"/>
    <x v="17"/>
    <x v="1"/>
    <x v="1"/>
    <s v="Dr. Anil"/>
    <x v="1"/>
    <n v="10679.97"/>
    <n v="18"/>
    <x v="0"/>
    <s v="B+"/>
    <x v="4"/>
    <s v="Under Treatment"/>
  </r>
  <r>
    <x v="220"/>
    <s v="2025-03-30"/>
    <x v="79"/>
    <x v="0"/>
    <x v="1"/>
    <s v="Dr. Meera"/>
    <x v="4"/>
    <n v="31395.24"/>
    <n v="7"/>
    <x v="1"/>
    <s v="B+"/>
    <x v="5"/>
    <s v="Under Treatment"/>
  </r>
  <r>
    <x v="221"/>
    <s v="2025-01-19"/>
    <x v="67"/>
    <x v="1"/>
    <x v="5"/>
    <s v="Dr. Arun"/>
    <x v="5"/>
    <n v="6508.39"/>
    <n v="2"/>
    <x v="1"/>
    <s v="O-"/>
    <x v="0"/>
    <s v="Recovered"/>
  </r>
  <r>
    <x v="222"/>
    <s v="2025-02-21"/>
    <x v="83"/>
    <x v="1"/>
    <x v="4"/>
    <s v="Dr. Arun"/>
    <x v="5"/>
    <n v="29207.95"/>
    <n v="7"/>
    <x v="0"/>
    <s v="A-"/>
    <x v="4"/>
    <s v="Under Treatment"/>
  </r>
  <r>
    <x v="223"/>
    <s v="2025-01-05"/>
    <x v="10"/>
    <x v="1"/>
    <x v="4"/>
    <s v="Dr. Rahul"/>
    <x v="5"/>
    <n v="5301.5"/>
    <n v="11"/>
    <x v="1"/>
    <s v="AB+"/>
    <x v="5"/>
    <s v="Referred"/>
  </r>
  <r>
    <x v="224"/>
    <s v="2025-09-25"/>
    <x v="42"/>
    <x v="1"/>
    <x v="2"/>
    <s v="Dr. Meera"/>
    <x v="4"/>
    <n v="144204.76999999999"/>
    <n v="7"/>
    <x v="1"/>
    <s v="AB-"/>
    <x v="3"/>
    <s v="Under Treatment"/>
  </r>
  <r>
    <x v="225"/>
    <s v="2025-03-29"/>
    <x v="7"/>
    <x v="0"/>
    <x v="2"/>
    <s v="Dr. Priya"/>
    <x v="0"/>
    <n v="96912.28"/>
    <n v="10"/>
    <x v="0"/>
    <s v="O-"/>
    <x v="2"/>
    <s v="Recovered"/>
  </r>
  <r>
    <x v="226"/>
    <s v="2025-11-14"/>
    <x v="70"/>
    <x v="1"/>
    <x v="3"/>
    <s v="Dr. Meera"/>
    <x v="2"/>
    <n v="95870.23"/>
    <n v="10"/>
    <x v="0"/>
    <s v="O+"/>
    <x v="5"/>
    <s v="Referred"/>
  </r>
  <r>
    <x v="227"/>
    <s v="2026-01-07"/>
    <x v="62"/>
    <x v="1"/>
    <x v="5"/>
    <s v="Dr. Priya"/>
    <x v="0"/>
    <n v="8646.92"/>
    <n v="20"/>
    <x v="1"/>
    <s v="B-"/>
    <x v="2"/>
    <s v="Under Treatment"/>
  </r>
  <r>
    <x v="228"/>
    <s v="2025-10-03"/>
    <x v="69"/>
    <x v="1"/>
    <x v="4"/>
    <s v="Dr. Nisha"/>
    <x v="1"/>
    <n v="106746.49"/>
    <n v="14"/>
    <x v="1"/>
    <s v="O-"/>
    <x v="4"/>
    <s v="Recovered"/>
  </r>
  <r>
    <x v="229"/>
    <s v="2025-06-12"/>
    <x v="34"/>
    <x v="1"/>
    <x v="4"/>
    <s v="Dr. Arun"/>
    <x v="0"/>
    <n v="20806.919999999998"/>
    <n v="13"/>
    <x v="0"/>
    <s v="A+"/>
    <x v="2"/>
    <s v="Recovered"/>
  </r>
  <r>
    <x v="230"/>
    <s v="2026-06-07"/>
    <x v="10"/>
    <x v="0"/>
    <x v="4"/>
    <s v="Dr. Meera"/>
    <x v="5"/>
    <n v="19458.36"/>
    <n v="11"/>
    <x v="1"/>
    <s v="A+"/>
    <x v="4"/>
    <s v="Under Treatment"/>
  </r>
  <r>
    <x v="231"/>
    <s v="2025-07-02"/>
    <x v="16"/>
    <x v="0"/>
    <x v="0"/>
    <s v="Dr. Priya"/>
    <x v="0"/>
    <n v="49013.14"/>
    <n v="1"/>
    <x v="0"/>
    <s v="A-"/>
    <x v="5"/>
    <s v="Referred"/>
  </r>
  <r>
    <x v="232"/>
    <s v="2025-06-09"/>
    <x v="55"/>
    <x v="1"/>
    <x v="3"/>
    <s v="Dr. Rahul"/>
    <x v="1"/>
    <n v="75995.05"/>
    <n v="8"/>
    <x v="0"/>
    <s v="AB-"/>
    <x v="0"/>
    <s v="Recovered"/>
  </r>
  <r>
    <x v="233"/>
    <s v="2025-03-20"/>
    <x v="62"/>
    <x v="0"/>
    <x v="2"/>
    <s v="Dr. Nisha"/>
    <x v="5"/>
    <n v="73979.91"/>
    <n v="17"/>
    <x v="0"/>
    <s v="A+"/>
    <x v="2"/>
    <s v="Under Treatment"/>
  </r>
  <r>
    <x v="234"/>
    <s v="2025-12-31"/>
    <x v="65"/>
    <x v="0"/>
    <x v="0"/>
    <s v="Dr. Nisha"/>
    <x v="3"/>
    <n v="142072.17000000001"/>
    <n v="17"/>
    <x v="0"/>
    <s v="O+"/>
    <x v="0"/>
    <s v="Under Treatment"/>
  </r>
  <r>
    <x v="235"/>
    <s v="2026-01-03"/>
    <x v="80"/>
    <x v="0"/>
    <x v="0"/>
    <s v="Dr. Arun"/>
    <x v="2"/>
    <n v="51992.42"/>
    <n v="17"/>
    <x v="1"/>
    <s v="O+"/>
    <x v="0"/>
    <s v="Recovered"/>
  </r>
  <r>
    <x v="236"/>
    <s v="2026-03-13"/>
    <x v="64"/>
    <x v="0"/>
    <x v="5"/>
    <s v="Dr. Arun"/>
    <x v="1"/>
    <n v="1438.69"/>
    <n v="8"/>
    <x v="0"/>
    <s v="AB-"/>
    <x v="3"/>
    <s v="Recovered"/>
  </r>
  <r>
    <x v="237"/>
    <s v="2025-01-21"/>
    <x v="64"/>
    <x v="1"/>
    <x v="4"/>
    <s v="Dr. Meera"/>
    <x v="0"/>
    <n v="14346.54"/>
    <n v="7"/>
    <x v="1"/>
    <s v="A+"/>
    <x v="2"/>
    <s v="Recovered"/>
  </r>
  <r>
    <x v="238"/>
    <s v="2025-09-07"/>
    <x v="6"/>
    <x v="1"/>
    <x v="1"/>
    <s v="Dr. Priya"/>
    <x v="0"/>
    <n v="21721.79"/>
    <n v="14"/>
    <x v="0"/>
    <s v="AB+"/>
    <x v="4"/>
    <s v="Under Treatment"/>
  </r>
  <r>
    <x v="239"/>
    <s v="2025-08-10"/>
    <x v="17"/>
    <x v="0"/>
    <x v="3"/>
    <s v="Dr. Nisha"/>
    <x v="3"/>
    <n v="94785.38"/>
    <n v="1"/>
    <x v="0"/>
    <s v="AB-"/>
    <x v="0"/>
    <s v="Referred"/>
  </r>
  <r>
    <x v="240"/>
    <s v="2025-06-14"/>
    <x v="1"/>
    <x v="0"/>
    <x v="2"/>
    <s v="Dr. Nisha"/>
    <x v="4"/>
    <n v="90325.07"/>
    <n v="15"/>
    <x v="0"/>
    <s v="A+"/>
    <x v="1"/>
    <s v="Recovered"/>
  </r>
  <r>
    <x v="241"/>
    <s v="2026-06-03"/>
    <x v="43"/>
    <x v="1"/>
    <x v="4"/>
    <s v="Dr. Priya"/>
    <x v="5"/>
    <n v="65507.31"/>
    <n v="1"/>
    <x v="0"/>
    <s v="AB-"/>
    <x v="3"/>
    <s v="Referred"/>
  </r>
  <r>
    <x v="242"/>
    <s v="2025-09-08"/>
    <x v="76"/>
    <x v="0"/>
    <x v="4"/>
    <s v="Dr. Anil"/>
    <x v="4"/>
    <n v="47589.440000000002"/>
    <n v="14"/>
    <x v="1"/>
    <s v="O-"/>
    <x v="0"/>
    <s v="Under Treatment"/>
  </r>
  <r>
    <x v="243"/>
    <s v="2025-10-30"/>
    <x v="84"/>
    <x v="0"/>
    <x v="5"/>
    <s v="Dr. Priya"/>
    <x v="3"/>
    <n v="111929.93"/>
    <n v="2"/>
    <x v="0"/>
    <s v="O+"/>
    <x v="2"/>
    <s v="Recovered"/>
  </r>
  <r>
    <x v="244"/>
    <s v="2026-01-29"/>
    <x v="3"/>
    <x v="0"/>
    <x v="3"/>
    <s v="Dr. Meera"/>
    <x v="4"/>
    <n v="71840.41"/>
    <n v="17"/>
    <x v="1"/>
    <s v="B+"/>
    <x v="4"/>
    <s v="Under Treatment"/>
  </r>
  <r>
    <x v="245"/>
    <s v="2026-03-28"/>
    <x v="30"/>
    <x v="0"/>
    <x v="4"/>
    <s v="Dr. Arun"/>
    <x v="4"/>
    <n v="133782.71"/>
    <n v="3"/>
    <x v="0"/>
    <s v="AB-"/>
    <x v="5"/>
    <s v="Under Treatment"/>
  </r>
  <r>
    <x v="246"/>
    <s v="2025-01-05"/>
    <x v="33"/>
    <x v="1"/>
    <x v="3"/>
    <s v="Dr. Nisha"/>
    <x v="4"/>
    <n v="126035.11"/>
    <n v="14"/>
    <x v="1"/>
    <s v="A-"/>
    <x v="0"/>
    <s v="Under Treatment"/>
  </r>
  <r>
    <x v="247"/>
    <s v="2026-03-26"/>
    <x v="59"/>
    <x v="1"/>
    <x v="3"/>
    <s v="Dr. Anil"/>
    <x v="5"/>
    <n v="81342.929999999993"/>
    <n v="3"/>
    <x v="0"/>
    <s v="AB-"/>
    <x v="5"/>
    <s v="Recovered"/>
  </r>
  <r>
    <x v="248"/>
    <s v="2025-09-12"/>
    <x v="50"/>
    <x v="0"/>
    <x v="0"/>
    <s v="Dr. Arun"/>
    <x v="3"/>
    <n v="104085.21"/>
    <n v="19"/>
    <x v="1"/>
    <s v="B-"/>
    <x v="1"/>
    <s v="Recovered"/>
  </r>
  <r>
    <x v="249"/>
    <s v="2025-09-09"/>
    <x v="32"/>
    <x v="0"/>
    <x v="5"/>
    <s v="Dr. Meera"/>
    <x v="0"/>
    <n v="24846.16"/>
    <n v="14"/>
    <x v="1"/>
    <s v="B+"/>
    <x v="0"/>
    <s v="Recovered"/>
  </r>
  <r>
    <x v="250"/>
    <s v="2025-06-12"/>
    <x v="60"/>
    <x v="0"/>
    <x v="2"/>
    <s v="Dr. Arun"/>
    <x v="3"/>
    <n v="26901.27"/>
    <n v="4"/>
    <x v="0"/>
    <s v="B-"/>
    <x v="1"/>
    <s v="Referred"/>
  </r>
  <r>
    <x v="251"/>
    <s v="2025-01-08"/>
    <x v="85"/>
    <x v="1"/>
    <x v="3"/>
    <s v="Dr. Priya"/>
    <x v="0"/>
    <n v="98487.01"/>
    <n v="3"/>
    <x v="1"/>
    <s v="O-"/>
    <x v="4"/>
    <s v="Referred"/>
  </r>
  <r>
    <x v="252"/>
    <s v="2026-01-02"/>
    <x v="3"/>
    <x v="0"/>
    <x v="0"/>
    <s v="Dr. Nisha"/>
    <x v="1"/>
    <n v="113474"/>
    <n v="9"/>
    <x v="0"/>
    <s v="A+"/>
    <x v="3"/>
    <s v="Under Treatment"/>
  </r>
  <r>
    <x v="253"/>
    <s v="2025-08-31"/>
    <x v="14"/>
    <x v="1"/>
    <x v="0"/>
    <s v="Dr. Priya"/>
    <x v="3"/>
    <n v="91833.38"/>
    <n v="6"/>
    <x v="1"/>
    <s v="B+"/>
    <x v="0"/>
    <s v="Recovered"/>
  </r>
  <r>
    <x v="254"/>
    <s v="2025-09-07"/>
    <x v="77"/>
    <x v="1"/>
    <x v="4"/>
    <s v="Dr. Rahul"/>
    <x v="3"/>
    <n v="24092.03"/>
    <n v="20"/>
    <x v="0"/>
    <s v="AB-"/>
    <x v="0"/>
    <s v="Recovered"/>
  </r>
  <r>
    <x v="255"/>
    <s v="2025-03-19"/>
    <x v="60"/>
    <x v="0"/>
    <x v="2"/>
    <s v="Dr. Meera"/>
    <x v="4"/>
    <n v="29516.32"/>
    <n v="2"/>
    <x v="1"/>
    <s v="AB+"/>
    <x v="1"/>
    <s v="Referred"/>
  </r>
  <r>
    <x v="256"/>
    <s v="2025-05-14"/>
    <x v="2"/>
    <x v="1"/>
    <x v="2"/>
    <s v="Dr. Rahul"/>
    <x v="4"/>
    <n v="18926.89"/>
    <n v="14"/>
    <x v="1"/>
    <s v="B-"/>
    <x v="1"/>
    <s v="Recovered"/>
  </r>
  <r>
    <x v="257"/>
    <s v="2025-09-30"/>
    <x v="9"/>
    <x v="0"/>
    <x v="4"/>
    <s v="Dr. Rahul"/>
    <x v="3"/>
    <n v="80794.880000000005"/>
    <n v="18"/>
    <x v="1"/>
    <s v="B-"/>
    <x v="0"/>
    <s v="Under Treatment"/>
  </r>
  <r>
    <x v="258"/>
    <s v="2026-04-05"/>
    <x v="64"/>
    <x v="0"/>
    <x v="5"/>
    <s v="Dr. Arun"/>
    <x v="1"/>
    <n v="122808.2"/>
    <n v="19"/>
    <x v="0"/>
    <s v="B+"/>
    <x v="1"/>
    <s v="Recovered"/>
  </r>
  <r>
    <x v="259"/>
    <s v="2025-12-07"/>
    <x v="4"/>
    <x v="0"/>
    <x v="1"/>
    <s v="Dr. Arun"/>
    <x v="0"/>
    <n v="107298.72"/>
    <n v="17"/>
    <x v="1"/>
    <s v="AB+"/>
    <x v="3"/>
    <s v="Referred"/>
  </r>
  <r>
    <x v="260"/>
    <s v="2026-06-16"/>
    <x v="21"/>
    <x v="1"/>
    <x v="0"/>
    <s v="Dr. Anil"/>
    <x v="3"/>
    <n v="67838.100000000006"/>
    <n v="11"/>
    <x v="0"/>
    <s v="AB+"/>
    <x v="1"/>
    <s v="Recovered"/>
  </r>
  <r>
    <x v="261"/>
    <s v="2026-02-20"/>
    <x v="43"/>
    <x v="0"/>
    <x v="1"/>
    <s v="Dr. Nisha"/>
    <x v="4"/>
    <n v="94832.36"/>
    <n v="11"/>
    <x v="0"/>
    <s v="B-"/>
    <x v="2"/>
    <s v="Under Treatment"/>
  </r>
  <r>
    <x v="262"/>
    <s v="2025-09-29"/>
    <x v="10"/>
    <x v="0"/>
    <x v="2"/>
    <s v="Dr. Priya"/>
    <x v="5"/>
    <n v="89518.34"/>
    <n v="2"/>
    <x v="0"/>
    <s v="O-"/>
    <x v="5"/>
    <s v="Referred"/>
  </r>
  <r>
    <x v="263"/>
    <s v="2025-09-26"/>
    <x v="7"/>
    <x v="0"/>
    <x v="3"/>
    <s v="Dr. Meera"/>
    <x v="2"/>
    <n v="5678.34"/>
    <n v="9"/>
    <x v="1"/>
    <s v="A-"/>
    <x v="3"/>
    <s v="Under Treatment"/>
  </r>
  <r>
    <x v="264"/>
    <s v="2025-03-17"/>
    <x v="7"/>
    <x v="1"/>
    <x v="5"/>
    <s v="Dr. Anil"/>
    <x v="3"/>
    <n v="14214.92"/>
    <n v="5"/>
    <x v="1"/>
    <s v="A+"/>
    <x v="4"/>
    <s v="Under Treatment"/>
  </r>
  <r>
    <x v="265"/>
    <s v="2025-06-04"/>
    <x v="62"/>
    <x v="1"/>
    <x v="5"/>
    <s v="Dr. Rahul"/>
    <x v="0"/>
    <n v="15424.21"/>
    <n v="2"/>
    <x v="1"/>
    <s v="A+"/>
    <x v="0"/>
    <s v="Recovered"/>
  </r>
  <r>
    <x v="266"/>
    <s v="2025-03-03"/>
    <x v="81"/>
    <x v="0"/>
    <x v="4"/>
    <s v="Dr. Meera"/>
    <x v="1"/>
    <n v="17581.419999999998"/>
    <n v="2"/>
    <x v="0"/>
    <s v="B-"/>
    <x v="4"/>
    <s v="Recovered"/>
  </r>
  <r>
    <x v="267"/>
    <s v="2025-10-24"/>
    <x v="71"/>
    <x v="1"/>
    <x v="0"/>
    <s v="Dr. Meera"/>
    <x v="0"/>
    <n v="72639.11"/>
    <n v="15"/>
    <x v="1"/>
    <s v="B-"/>
    <x v="2"/>
    <s v="Recovered"/>
  </r>
  <r>
    <x v="268"/>
    <s v="2025-03-02"/>
    <x v="15"/>
    <x v="0"/>
    <x v="3"/>
    <s v="Dr. Anil"/>
    <x v="2"/>
    <n v="36517.18"/>
    <n v="20"/>
    <x v="1"/>
    <s v="AB+"/>
    <x v="0"/>
    <s v="Referred"/>
  </r>
  <r>
    <x v="269"/>
    <s v="2025-01-10"/>
    <x v="10"/>
    <x v="0"/>
    <x v="2"/>
    <s v="Dr. Meera"/>
    <x v="3"/>
    <n v="75419.5"/>
    <n v="7"/>
    <x v="1"/>
    <s v="AB+"/>
    <x v="4"/>
    <s v="Under Treatment"/>
  </r>
  <r>
    <x v="270"/>
    <s v="2025-03-04"/>
    <x v="47"/>
    <x v="0"/>
    <x v="2"/>
    <s v="Dr. Anil"/>
    <x v="1"/>
    <n v="24652.41"/>
    <n v="13"/>
    <x v="0"/>
    <s v="O+"/>
    <x v="4"/>
    <s v="Referred"/>
  </r>
  <r>
    <x v="271"/>
    <s v="2025-11-26"/>
    <x v="8"/>
    <x v="0"/>
    <x v="1"/>
    <s v="Dr. Anil"/>
    <x v="4"/>
    <n v="127119.82"/>
    <n v="15"/>
    <x v="0"/>
    <s v="A+"/>
    <x v="0"/>
    <s v="Referred"/>
  </r>
  <r>
    <x v="272"/>
    <s v="2025-02-03"/>
    <x v="53"/>
    <x v="0"/>
    <x v="3"/>
    <s v="Dr. Meera"/>
    <x v="3"/>
    <n v="141865.32"/>
    <n v="17"/>
    <x v="1"/>
    <s v="B+"/>
    <x v="4"/>
    <s v="Referred"/>
  </r>
  <r>
    <x v="273"/>
    <s v="2025-04-17"/>
    <x v="60"/>
    <x v="1"/>
    <x v="3"/>
    <s v="Dr. Meera"/>
    <x v="2"/>
    <n v="86789.82"/>
    <n v="8"/>
    <x v="1"/>
    <s v="O+"/>
    <x v="5"/>
    <s v="Recovered"/>
  </r>
  <r>
    <x v="274"/>
    <s v="2025-05-10"/>
    <x v="64"/>
    <x v="1"/>
    <x v="4"/>
    <s v="Dr. Rahul"/>
    <x v="4"/>
    <n v="123141.29"/>
    <n v="10"/>
    <x v="1"/>
    <s v="A-"/>
    <x v="2"/>
    <s v="Under Treatment"/>
  </r>
  <r>
    <x v="275"/>
    <s v="2026-02-12"/>
    <x v="73"/>
    <x v="0"/>
    <x v="4"/>
    <s v="Dr. Anil"/>
    <x v="4"/>
    <n v="62611.17"/>
    <n v="3"/>
    <x v="1"/>
    <s v="O-"/>
    <x v="5"/>
    <s v="Recovered"/>
  </r>
  <r>
    <x v="276"/>
    <s v="2025-08-24"/>
    <x v="20"/>
    <x v="1"/>
    <x v="0"/>
    <s v="Dr. Anil"/>
    <x v="2"/>
    <n v="2458.14"/>
    <n v="2"/>
    <x v="0"/>
    <s v="A+"/>
    <x v="0"/>
    <s v="Under Treatment"/>
  </r>
  <r>
    <x v="277"/>
    <s v="2025-07-07"/>
    <x v="4"/>
    <x v="0"/>
    <x v="3"/>
    <s v="Dr. Arun"/>
    <x v="2"/>
    <n v="83301.429999999993"/>
    <n v="18"/>
    <x v="0"/>
    <s v="A-"/>
    <x v="2"/>
    <s v="Referred"/>
  </r>
  <r>
    <x v="278"/>
    <s v="2025-07-21"/>
    <x v="52"/>
    <x v="0"/>
    <x v="5"/>
    <s v="Dr. Meera"/>
    <x v="5"/>
    <n v="3055.19"/>
    <n v="16"/>
    <x v="0"/>
    <s v="AB+"/>
    <x v="5"/>
    <s v="Under Treatment"/>
  </r>
  <r>
    <x v="279"/>
    <s v="2026-02-08"/>
    <x v="79"/>
    <x v="1"/>
    <x v="4"/>
    <s v="Dr. Arun"/>
    <x v="4"/>
    <n v="51423.98"/>
    <n v="8"/>
    <x v="0"/>
    <s v="O-"/>
    <x v="3"/>
    <s v="Referred"/>
  </r>
  <r>
    <x v="280"/>
    <s v="2026-05-23"/>
    <x v="63"/>
    <x v="1"/>
    <x v="4"/>
    <s v="Dr. Anil"/>
    <x v="1"/>
    <n v="88993.81"/>
    <n v="7"/>
    <x v="1"/>
    <s v="O+"/>
    <x v="5"/>
    <s v="Referred"/>
  </r>
  <r>
    <x v="281"/>
    <s v="2025-08-21"/>
    <x v="1"/>
    <x v="0"/>
    <x v="5"/>
    <s v="Dr. Nisha"/>
    <x v="0"/>
    <n v="62253.97"/>
    <n v="19"/>
    <x v="0"/>
    <s v="A+"/>
    <x v="2"/>
    <s v="Under Treatment"/>
  </r>
  <r>
    <x v="282"/>
    <s v="2025-11-08"/>
    <x v="27"/>
    <x v="0"/>
    <x v="5"/>
    <s v="Dr. Arun"/>
    <x v="4"/>
    <n v="42952.39"/>
    <n v="19"/>
    <x v="1"/>
    <s v="O+"/>
    <x v="2"/>
    <s v="Recovered"/>
  </r>
  <r>
    <x v="283"/>
    <s v="2025-05-12"/>
    <x v="44"/>
    <x v="1"/>
    <x v="3"/>
    <s v="Dr. Anil"/>
    <x v="3"/>
    <n v="68042.91"/>
    <n v="10"/>
    <x v="0"/>
    <s v="O+"/>
    <x v="3"/>
    <s v="Referred"/>
  </r>
  <r>
    <x v="284"/>
    <s v="2025-03-14"/>
    <x v="85"/>
    <x v="1"/>
    <x v="0"/>
    <s v="Dr. Rahul"/>
    <x v="1"/>
    <n v="14006.05"/>
    <n v="14"/>
    <x v="1"/>
    <s v="B+"/>
    <x v="4"/>
    <s v="Referred"/>
  </r>
  <r>
    <x v="285"/>
    <s v="2025-02-08"/>
    <x v="38"/>
    <x v="1"/>
    <x v="0"/>
    <s v="Dr. Arun"/>
    <x v="1"/>
    <n v="138490.35"/>
    <n v="14"/>
    <x v="0"/>
    <s v="A+"/>
    <x v="0"/>
    <s v="Recovered"/>
  </r>
  <r>
    <x v="286"/>
    <s v="2026-02-21"/>
    <x v="21"/>
    <x v="0"/>
    <x v="4"/>
    <s v="Dr. Priya"/>
    <x v="0"/>
    <n v="126456.99"/>
    <n v="12"/>
    <x v="0"/>
    <s v="AB+"/>
    <x v="5"/>
    <s v="Recovered"/>
  </r>
  <r>
    <x v="287"/>
    <s v="2025-12-12"/>
    <x v="80"/>
    <x v="0"/>
    <x v="4"/>
    <s v="Dr. Anil"/>
    <x v="3"/>
    <n v="112860.55"/>
    <n v="5"/>
    <x v="1"/>
    <s v="B-"/>
    <x v="2"/>
    <s v="Recovered"/>
  </r>
  <r>
    <x v="288"/>
    <s v="2025-04-15"/>
    <x v="65"/>
    <x v="1"/>
    <x v="1"/>
    <s v="Dr. Anil"/>
    <x v="3"/>
    <n v="123735.91"/>
    <n v="20"/>
    <x v="0"/>
    <s v="A-"/>
    <x v="3"/>
    <s v="Under Treatment"/>
  </r>
  <r>
    <x v="289"/>
    <s v="2025-02-24"/>
    <x v="51"/>
    <x v="0"/>
    <x v="3"/>
    <s v="Dr. Meera"/>
    <x v="3"/>
    <n v="28007.48"/>
    <n v="19"/>
    <x v="0"/>
    <s v="A-"/>
    <x v="0"/>
    <s v="Referred"/>
  </r>
  <r>
    <x v="290"/>
    <s v="2025-06-26"/>
    <x v="67"/>
    <x v="1"/>
    <x v="2"/>
    <s v="Dr. Priya"/>
    <x v="2"/>
    <n v="65488.38"/>
    <n v="18"/>
    <x v="0"/>
    <s v="A+"/>
    <x v="1"/>
    <s v="Recovered"/>
  </r>
  <r>
    <x v="291"/>
    <s v="2025-01-04"/>
    <x v="21"/>
    <x v="1"/>
    <x v="1"/>
    <s v="Dr. Priya"/>
    <x v="0"/>
    <n v="145347.48000000001"/>
    <n v="11"/>
    <x v="1"/>
    <s v="B-"/>
    <x v="4"/>
    <s v="Recovered"/>
  </r>
  <r>
    <x v="292"/>
    <s v="2026-02-06"/>
    <x v="17"/>
    <x v="1"/>
    <x v="3"/>
    <s v="Dr. Anil"/>
    <x v="1"/>
    <n v="41966.44"/>
    <n v="3"/>
    <x v="1"/>
    <s v="A-"/>
    <x v="5"/>
    <s v="Referred"/>
  </r>
  <r>
    <x v="293"/>
    <s v="2025-10-16"/>
    <x v="41"/>
    <x v="1"/>
    <x v="3"/>
    <s v="Dr. Arun"/>
    <x v="1"/>
    <n v="134174.71"/>
    <n v="13"/>
    <x v="1"/>
    <s v="A+"/>
    <x v="1"/>
    <s v="Recovered"/>
  </r>
  <r>
    <x v="294"/>
    <s v="2026-05-11"/>
    <x v="81"/>
    <x v="0"/>
    <x v="0"/>
    <s v="Dr. Nisha"/>
    <x v="4"/>
    <n v="128229.32"/>
    <n v="19"/>
    <x v="1"/>
    <s v="B-"/>
    <x v="1"/>
    <s v="Under Treatment"/>
  </r>
  <r>
    <x v="295"/>
    <s v="2025-07-08"/>
    <x v="77"/>
    <x v="1"/>
    <x v="0"/>
    <s v="Dr. Priya"/>
    <x v="2"/>
    <n v="2342.63"/>
    <n v="17"/>
    <x v="1"/>
    <s v="O-"/>
    <x v="5"/>
    <s v="Recovered"/>
  </r>
  <r>
    <x v="296"/>
    <s v="2025-07-21"/>
    <x v="38"/>
    <x v="0"/>
    <x v="0"/>
    <s v="Dr. Priya"/>
    <x v="0"/>
    <n v="117703.56"/>
    <n v="7"/>
    <x v="0"/>
    <s v="AB+"/>
    <x v="3"/>
    <s v="Referred"/>
  </r>
  <r>
    <x v="297"/>
    <s v="2026-01-15"/>
    <x v="16"/>
    <x v="1"/>
    <x v="3"/>
    <s v="Dr. Meera"/>
    <x v="3"/>
    <n v="136917.81"/>
    <n v="11"/>
    <x v="0"/>
    <s v="B-"/>
    <x v="3"/>
    <s v="Under Treatment"/>
  </r>
  <r>
    <x v="298"/>
    <s v="2025-07-05"/>
    <x v="86"/>
    <x v="0"/>
    <x v="4"/>
    <s v="Dr. Nisha"/>
    <x v="0"/>
    <n v="70579.44"/>
    <n v="20"/>
    <x v="0"/>
    <s v="AB+"/>
    <x v="2"/>
    <s v="Under Treatment"/>
  </r>
  <r>
    <x v="299"/>
    <s v="2025-11-09"/>
    <x v="87"/>
    <x v="0"/>
    <x v="3"/>
    <s v="Dr. Rahul"/>
    <x v="1"/>
    <n v="118314.41"/>
    <n v="6"/>
    <x v="1"/>
    <s v="B-"/>
    <x v="5"/>
    <s v="Recovered"/>
  </r>
  <r>
    <x v="300"/>
    <s v="2025-07-10"/>
    <x v="86"/>
    <x v="0"/>
    <x v="1"/>
    <s v="Dr. Meera"/>
    <x v="5"/>
    <n v="87355.81"/>
    <n v="18"/>
    <x v="0"/>
    <s v="B-"/>
    <x v="0"/>
    <s v="Referred"/>
  </r>
  <r>
    <x v="301"/>
    <s v="2025-02-01"/>
    <x v="73"/>
    <x v="1"/>
    <x v="4"/>
    <s v="Dr. Meera"/>
    <x v="3"/>
    <n v="46543.62"/>
    <n v="4"/>
    <x v="1"/>
    <s v="A-"/>
    <x v="3"/>
    <s v="Referred"/>
  </r>
  <r>
    <x v="302"/>
    <s v="2025-08-30"/>
    <x v="58"/>
    <x v="0"/>
    <x v="4"/>
    <s v="Dr. Meera"/>
    <x v="1"/>
    <n v="128399.97"/>
    <n v="8"/>
    <x v="0"/>
    <s v="A-"/>
    <x v="2"/>
    <s v="Referred"/>
  </r>
  <r>
    <x v="303"/>
    <s v="2025-08-01"/>
    <x v="7"/>
    <x v="0"/>
    <x v="4"/>
    <s v="Dr. Nisha"/>
    <x v="1"/>
    <n v="129800.13"/>
    <n v="14"/>
    <x v="1"/>
    <s v="A-"/>
    <x v="4"/>
    <s v="Recovered"/>
  </r>
  <r>
    <x v="304"/>
    <s v="2025-04-24"/>
    <x v="83"/>
    <x v="0"/>
    <x v="3"/>
    <s v="Dr. Meera"/>
    <x v="3"/>
    <n v="90036"/>
    <n v="12"/>
    <x v="1"/>
    <s v="B+"/>
    <x v="1"/>
    <s v="Recovered"/>
  </r>
  <r>
    <x v="305"/>
    <s v="2026-04-22"/>
    <x v="80"/>
    <x v="0"/>
    <x v="4"/>
    <s v="Dr. Priya"/>
    <x v="3"/>
    <n v="129432.21"/>
    <n v="3"/>
    <x v="1"/>
    <s v="AB+"/>
    <x v="1"/>
    <s v="Referred"/>
  </r>
  <r>
    <x v="306"/>
    <s v="2026-01-21"/>
    <x v="32"/>
    <x v="0"/>
    <x v="3"/>
    <s v="Dr. Nisha"/>
    <x v="2"/>
    <n v="2777.06"/>
    <n v="4"/>
    <x v="1"/>
    <s v="O-"/>
    <x v="1"/>
    <s v="Recovered"/>
  </r>
  <r>
    <x v="307"/>
    <s v="2026-04-08"/>
    <x v="74"/>
    <x v="0"/>
    <x v="0"/>
    <s v="Dr. Priya"/>
    <x v="5"/>
    <n v="131417.37"/>
    <n v="6"/>
    <x v="0"/>
    <s v="O+"/>
    <x v="3"/>
    <s v="Recovered"/>
  </r>
  <r>
    <x v="308"/>
    <s v="2025-05-15"/>
    <x v="51"/>
    <x v="0"/>
    <x v="0"/>
    <s v="Dr. Priya"/>
    <x v="2"/>
    <n v="55563.25"/>
    <n v="8"/>
    <x v="1"/>
    <s v="O-"/>
    <x v="0"/>
    <s v="Under Treatment"/>
  </r>
  <r>
    <x v="309"/>
    <s v="2025-06-09"/>
    <x v="1"/>
    <x v="0"/>
    <x v="0"/>
    <s v="Dr. Arun"/>
    <x v="1"/>
    <n v="80014.06"/>
    <n v="17"/>
    <x v="1"/>
    <s v="A-"/>
    <x v="0"/>
    <s v="Referred"/>
  </r>
  <r>
    <x v="310"/>
    <s v="2026-01-21"/>
    <x v="8"/>
    <x v="1"/>
    <x v="5"/>
    <s v="Dr. Rahul"/>
    <x v="4"/>
    <n v="52124.59"/>
    <n v="18"/>
    <x v="1"/>
    <s v="O+"/>
    <x v="0"/>
    <s v="Recovered"/>
  </r>
  <r>
    <x v="311"/>
    <s v="2026-02-25"/>
    <x v="63"/>
    <x v="0"/>
    <x v="5"/>
    <s v="Dr. Rahul"/>
    <x v="0"/>
    <n v="140839.81"/>
    <n v="8"/>
    <x v="1"/>
    <s v="O+"/>
    <x v="0"/>
    <s v="Under Treatment"/>
  </r>
  <r>
    <x v="312"/>
    <s v="2026-01-29"/>
    <x v="49"/>
    <x v="0"/>
    <x v="1"/>
    <s v="Dr. Anil"/>
    <x v="0"/>
    <n v="39777.57"/>
    <n v="5"/>
    <x v="1"/>
    <s v="A+"/>
    <x v="2"/>
    <s v="Referred"/>
  </r>
  <r>
    <x v="313"/>
    <s v="2025-02-11"/>
    <x v="45"/>
    <x v="0"/>
    <x v="1"/>
    <s v="Dr. Anil"/>
    <x v="3"/>
    <n v="107125.24"/>
    <n v="17"/>
    <x v="0"/>
    <s v="AB-"/>
    <x v="3"/>
    <s v="Referred"/>
  </r>
  <r>
    <x v="314"/>
    <s v="2026-01-19"/>
    <x v="31"/>
    <x v="1"/>
    <x v="3"/>
    <s v="Dr. Priya"/>
    <x v="4"/>
    <n v="21395.31"/>
    <n v="1"/>
    <x v="1"/>
    <s v="A+"/>
    <x v="4"/>
    <s v="Referred"/>
  </r>
  <r>
    <x v="315"/>
    <s v="2026-02-24"/>
    <x v="56"/>
    <x v="1"/>
    <x v="0"/>
    <s v="Dr. Priya"/>
    <x v="2"/>
    <n v="130726.41"/>
    <n v="8"/>
    <x v="0"/>
    <s v="B-"/>
    <x v="1"/>
    <s v="Referred"/>
  </r>
  <r>
    <x v="316"/>
    <s v="2026-06-20"/>
    <x v="74"/>
    <x v="1"/>
    <x v="3"/>
    <s v="Dr. Anil"/>
    <x v="2"/>
    <n v="26067.65"/>
    <n v="9"/>
    <x v="1"/>
    <s v="AB+"/>
    <x v="3"/>
    <s v="Recovered"/>
  </r>
  <r>
    <x v="317"/>
    <s v="2026-02-07"/>
    <x v="64"/>
    <x v="0"/>
    <x v="2"/>
    <s v="Dr. Nisha"/>
    <x v="1"/>
    <n v="25013.759999999998"/>
    <n v="3"/>
    <x v="0"/>
    <s v="O+"/>
    <x v="0"/>
    <s v="Recovered"/>
  </r>
  <r>
    <x v="318"/>
    <s v="2025-06-25"/>
    <x v="18"/>
    <x v="0"/>
    <x v="3"/>
    <s v="Dr. Rahul"/>
    <x v="3"/>
    <n v="38567.58"/>
    <n v="3"/>
    <x v="1"/>
    <s v="O+"/>
    <x v="5"/>
    <s v="Under Treatment"/>
  </r>
  <r>
    <x v="319"/>
    <s v="2026-04-22"/>
    <x v="59"/>
    <x v="1"/>
    <x v="3"/>
    <s v="Dr. Arun"/>
    <x v="3"/>
    <n v="56676.13"/>
    <n v="3"/>
    <x v="1"/>
    <s v="B-"/>
    <x v="5"/>
    <s v="Referred"/>
  </r>
  <r>
    <x v="320"/>
    <s v="2025-02-03"/>
    <x v="88"/>
    <x v="0"/>
    <x v="4"/>
    <s v="Dr. Rahul"/>
    <x v="0"/>
    <n v="63527.94"/>
    <n v="14"/>
    <x v="0"/>
    <s v="A-"/>
    <x v="5"/>
    <s v="Referred"/>
  </r>
  <r>
    <x v="321"/>
    <s v="2025-01-06"/>
    <x v="75"/>
    <x v="1"/>
    <x v="5"/>
    <s v="Dr. Arun"/>
    <x v="4"/>
    <n v="76427.47"/>
    <n v="17"/>
    <x v="0"/>
    <s v="O+"/>
    <x v="4"/>
    <s v="Referred"/>
  </r>
  <r>
    <x v="322"/>
    <s v="2026-04-18"/>
    <x v="12"/>
    <x v="1"/>
    <x v="5"/>
    <s v="Dr. Nisha"/>
    <x v="5"/>
    <n v="89656.06"/>
    <n v="18"/>
    <x v="0"/>
    <s v="AB-"/>
    <x v="1"/>
    <s v="Recovered"/>
  </r>
  <r>
    <x v="323"/>
    <s v="2025-08-30"/>
    <x v="16"/>
    <x v="1"/>
    <x v="5"/>
    <s v="Dr. Anil"/>
    <x v="3"/>
    <n v="47162.81"/>
    <n v="5"/>
    <x v="0"/>
    <s v="B-"/>
    <x v="5"/>
    <s v="Under Treatment"/>
  </r>
  <r>
    <x v="324"/>
    <s v="2026-01-18"/>
    <x v="56"/>
    <x v="0"/>
    <x v="4"/>
    <s v="Dr. Meera"/>
    <x v="3"/>
    <n v="36620.54"/>
    <n v="4"/>
    <x v="0"/>
    <s v="A+"/>
    <x v="3"/>
    <s v="Referred"/>
  </r>
  <r>
    <x v="325"/>
    <s v="2025-08-21"/>
    <x v="53"/>
    <x v="0"/>
    <x v="3"/>
    <s v="Dr. Anil"/>
    <x v="3"/>
    <n v="149049.59"/>
    <n v="13"/>
    <x v="0"/>
    <s v="AB-"/>
    <x v="4"/>
    <s v="Referred"/>
  </r>
  <r>
    <x v="326"/>
    <s v="2026-03-19"/>
    <x v="26"/>
    <x v="0"/>
    <x v="2"/>
    <s v="Dr. Rahul"/>
    <x v="0"/>
    <n v="132073.73000000001"/>
    <n v="20"/>
    <x v="1"/>
    <s v="AB-"/>
    <x v="1"/>
    <s v="Under Treatment"/>
  </r>
  <r>
    <x v="327"/>
    <s v="2025-09-11"/>
    <x v="39"/>
    <x v="1"/>
    <x v="1"/>
    <s v="Dr. Arun"/>
    <x v="4"/>
    <n v="120642.5"/>
    <n v="5"/>
    <x v="1"/>
    <s v="AB+"/>
    <x v="3"/>
    <s v="Referred"/>
  </r>
  <r>
    <x v="328"/>
    <s v="2025-05-02"/>
    <x v="86"/>
    <x v="1"/>
    <x v="5"/>
    <s v="Dr. Anil"/>
    <x v="1"/>
    <n v="65625.440000000002"/>
    <n v="2"/>
    <x v="1"/>
    <s v="AB-"/>
    <x v="5"/>
    <s v="Referred"/>
  </r>
  <r>
    <x v="329"/>
    <s v="2025-01-13"/>
    <x v="79"/>
    <x v="0"/>
    <x v="4"/>
    <s v="Dr. Arun"/>
    <x v="3"/>
    <n v="41653.57"/>
    <n v="20"/>
    <x v="1"/>
    <s v="O+"/>
    <x v="2"/>
    <s v="Recovered"/>
  </r>
  <r>
    <x v="330"/>
    <s v="2025-04-19"/>
    <x v="68"/>
    <x v="1"/>
    <x v="0"/>
    <s v="Dr. Priya"/>
    <x v="0"/>
    <n v="106990.64"/>
    <n v="5"/>
    <x v="1"/>
    <s v="AB-"/>
    <x v="5"/>
    <s v="Referred"/>
  </r>
  <r>
    <x v="331"/>
    <s v="2025-07-28"/>
    <x v="4"/>
    <x v="1"/>
    <x v="3"/>
    <s v="Dr. Meera"/>
    <x v="3"/>
    <n v="86033.8"/>
    <n v="15"/>
    <x v="1"/>
    <s v="AB-"/>
    <x v="5"/>
    <s v="Under Treatment"/>
  </r>
  <r>
    <x v="332"/>
    <s v="2025-07-08"/>
    <x v="86"/>
    <x v="0"/>
    <x v="5"/>
    <s v="Dr. Priya"/>
    <x v="1"/>
    <n v="122621.63"/>
    <n v="7"/>
    <x v="1"/>
    <s v="AB+"/>
    <x v="4"/>
    <s v="Referred"/>
  </r>
  <r>
    <x v="333"/>
    <s v="2025-06-30"/>
    <x v="29"/>
    <x v="1"/>
    <x v="0"/>
    <s v="Dr. Priya"/>
    <x v="5"/>
    <n v="81553.05"/>
    <n v="2"/>
    <x v="1"/>
    <s v="O+"/>
    <x v="2"/>
    <s v="Referred"/>
  </r>
  <r>
    <x v="334"/>
    <s v="2025-12-29"/>
    <x v="27"/>
    <x v="0"/>
    <x v="1"/>
    <s v="Dr. Arun"/>
    <x v="2"/>
    <n v="138562.20000000001"/>
    <n v="13"/>
    <x v="0"/>
    <s v="A-"/>
    <x v="2"/>
    <s v="Referred"/>
  </r>
  <r>
    <x v="335"/>
    <s v="2026-06-24"/>
    <x v="74"/>
    <x v="1"/>
    <x v="5"/>
    <s v="Dr. Meera"/>
    <x v="0"/>
    <n v="104507.92"/>
    <n v="7"/>
    <x v="1"/>
    <s v="O+"/>
    <x v="2"/>
    <s v="Recovered"/>
  </r>
  <r>
    <x v="336"/>
    <s v="2025-02-21"/>
    <x v="33"/>
    <x v="0"/>
    <x v="0"/>
    <s v="Dr. Anil"/>
    <x v="1"/>
    <n v="7508.36"/>
    <n v="14"/>
    <x v="0"/>
    <s v="B+"/>
    <x v="5"/>
    <s v="Recovered"/>
  </r>
  <r>
    <x v="337"/>
    <s v="2026-06-21"/>
    <x v="54"/>
    <x v="1"/>
    <x v="5"/>
    <s v="Dr. Nisha"/>
    <x v="1"/>
    <n v="25038.57"/>
    <n v="6"/>
    <x v="0"/>
    <s v="O-"/>
    <x v="0"/>
    <s v="Under Treatment"/>
  </r>
  <r>
    <x v="338"/>
    <s v="2025-04-19"/>
    <x v="3"/>
    <x v="1"/>
    <x v="2"/>
    <s v="Dr. Nisha"/>
    <x v="0"/>
    <n v="41220.21"/>
    <n v="5"/>
    <x v="0"/>
    <s v="A+"/>
    <x v="4"/>
    <s v="Under Treatment"/>
  </r>
  <r>
    <x v="339"/>
    <s v="2025-10-21"/>
    <x v="49"/>
    <x v="0"/>
    <x v="0"/>
    <s v="Dr. Anil"/>
    <x v="3"/>
    <n v="23736.87"/>
    <n v="12"/>
    <x v="1"/>
    <s v="A+"/>
    <x v="0"/>
    <s v="Referred"/>
  </r>
  <r>
    <x v="340"/>
    <s v="2025-06-18"/>
    <x v="65"/>
    <x v="1"/>
    <x v="3"/>
    <s v="Dr. Rahul"/>
    <x v="3"/>
    <n v="7862.79"/>
    <n v="11"/>
    <x v="1"/>
    <s v="O+"/>
    <x v="1"/>
    <s v="Referred"/>
  </r>
  <r>
    <x v="341"/>
    <s v="2025-12-12"/>
    <x v="35"/>
    <x v="0"/>
    <x v="3"/>
    <s v="Dr. Arun"/>
    <x v="1"/>
    <n v="50570.18"/>
    <n v="13"/>
    <x v="0"/>
    <s v="O-"/>
    <x v="0"/>
    <s v="Recovered"/>
  </r>
  <r>
    <x v="342"/>
    <s v="2026-04-02"/>
    <x v="62"/>
    <x v="0"/>
    <x v="3"/>
    <s v="Dr. Arun"/>
    <x v="1"/>
    <n v="58868.25"/>
    <n v="1"/>
    <x v="1"/>
    <s v="O-"/>
    <x v="0"/>
    <s v="Referred"/>
  </r>
  <r>
    <x v="343"/>
    <s v="2025-09-15"/>
    <x v="11"/>
    <x v="0"/>
    <x v="0"/>
    <s v="Dr. Rahul"/>
    <x v="2"/>
    <n v="49818.1"/>
    <n v="13"/>
    <x v="1"/>
    <s v="A-"/>
    <x v="1"/>
    <s v="Referred"/>
  </r>
  <r>
    <x v="344"/>
    <s v="2026-02-10"/>
    <x v="63"/>
    <x v="0"/>
    <x v="5"/>
    <s v="Dr. Nisha"/>
    <x v="0"/>
    <n v="82293.33"/>
    <n v="7"/>
    <x v="1"/>
    <s v="AB-"/>
    <x v="4"/>
    <s v="Under Treatment"/>
  </r>
  <r>
    <x v="345"/>
    <s v="2025-05-07"/>
    <x v="63"/>
    <x v="1"/>
    <x v="0"/>
    <s v="Dr. Anil"/>
    <x v="3"/>
    <n v="147733.26999999999"/>
    <n v="8"/>
    <x v="1"/>
    <s v="O-"/>
    <x v="2"/>
    <s v="Under Treatment"/>
  </r>
  <r>
    <x v="346"/>
    <s v="2025-10-13"/>
    <x v="41"/>
    <x v="1"/>
    <x v="1"/>
    <s v="Dr. Nisha"/>
    <x v="5"/>
    <n v="116271.76"/>
    <n v="8"/>
    <x v="0"/>
    <s v="O+"/>
    <x v="5"/>
    <s v="Referred"/>
  </r>
  <r>
    <x v="347"/>
    <s v="2026-06-16"/>
    <x v="75"/>
    <x v="0"/>
    <x v="4"/>
    <s v="Dr. Arun"/>
    <x v="4"/>
    <n v="5081.63"/>
    <n v="5"/>
    <x v="0"/>
    <s v="O-"/>
    <x v="4"/>
    <s v="Referred"/>
  </r>
  <r>
    <x v="348"/>
    <s v="2025-03-26"/>
    <x v="18"/>
    <x v="1"/>
    <x v="4"/>
    <s v="Dr. Rahul"/>
    <x v="0"/>
    <n v="60608.12"/>
    <n v="9"/>
    <x v="1"/>
    <s v="A+"/>
    <x v="4"/>
    <s v="Under Treatment"/>
  </r>
  <r>
    <x v="349"/>
    <s v="2025-05-20"/>
    <x v="23"/>
    <x v="0"/>
    <x v="5"/>
    <s v="Dr. Arun"/>
    <x v="1"/>
    <n v="110211.94"/>
    <n v="15"/>
    <x v="0"/>
    <s v="A-"/>
    <x v="3"/>
    <s v="Recovered"/>
  </r>
  <r>
    <x v="350"/>
    <s v="2025-02-10"/>
    <x v="57"/>
    <x v="0"/>
    <x v="5"/>
    <s v="Dr. Priya"/>
    <x v="0"/>
    <n v="75956.69"/>
    <n v="15"/>
    <x v="0"/>
    <s v="O-"/>
    <x v="3"/>
    <s v="Under Treatment"/>
  </r>
  <r>
    <x v="351"/>
    <s v="2026-04-19"/>
    <x v="77"/>
    <x v="1"/>
    <x v="5"/>
    <s v="Dr. Nisha"/>
    <x v="3"/>
    <n v="118159.03999999999"/>
    <n v="19"/>
    <x v="0"/>
    <s v="A+"/>
    <x v="2"/>
    <s v="Recovered"/>
  </r>
  <r>
    <x v="352"/>
    <s v="2025-04-19"/>
    <x v="52"/>
    <x v="0"/>
    <x v="5"/>
    <s v="Dr. Arun"/>
    <x v="2"/>
    <n v="127578.33"/>
    <n v="19"/>
    <x v="1"/>
    <s v="AB-"/>
    <x v="2"/>
    <s v="Referred"/>
  </r>
  <r>
    <x v="353"/>
    <s v="2026-06-05"/>
    <x v="50"/>
    <x v="0"/>
    <x v="3"/>
    <s v="Dr. Rahul"/>
    <x v="2"/>
    <n v="134105.92000000001"/>
    <n v="19"/>
    <x v="1"/>
    <s v="A+"/>
    <x v="2"/>
    <s v="Referred"/>
  </r>
  <r>
    <x v="354"/>
    <s v="2026-03-09"/>
    <x v="24"/>
    <x v="1"/>
    <x v="0"/>
    <s v="Dr. Anil"/>
    <x v="1"/>
    <n v="47131.96"/>
    <n v="2"/>
    <x v="1"/>
    <s v="A-"/>
    <x v="4"/>
    <s v="Referred"/>
  </r>
  <r>
    <x v="355"/>
    <s v="2025-11-19"/>
    <x v="54"/>
    <x v="1"/>
    <x v="2"/>
    <s v="Dr. Anil"/>
    <x v="0"/>
    <n v="81691.11"/>
    <n v="6"/>
    <x v="1"/>
    <s v="O-"/>
    <x v="2"/>
    <s v="Under Treatment"/>
  </r>
  <r>
    <x v="356"/>
    <s v="2025-11-01"/>
    <x v="11"/>
    <x v="1"/>
    <x v="1"/>
    <s v="Dr. Anil"/>
    <x v="3"/>
    <n v="33478.230000000003"/>
    <n v="13"/>
    <x v="1"/>
    <s v="B+"/>
    <x v="4"/>
    <s v="Under Treatment"/>
  </r>
  <r>
    <x v="357"/>
    <s v="2025-07-19"/>
    <x v="2"/>
    <x v="0"/>
    <x v="5"/>
    <s v="Dr. Arun"/>
    <x v="3"/>
    <n v="132422.19"/>
    <n v="7"/>
    <x v="0"/>
    <s v="AB+"/>
    <x v="2"/>
    <s v="Recovered"/>
  </r>
  <r>
    <x v="358"/>
    <s v="2026-04-13"/>
    <x v="10"/>
    <x v="0"/>
    <x v="0"/>
    <s v="Dr. Nisha"/>
    <x v="2"/>
    <n v="98440.74"/>
    <n v="13"/>
    <x v="1"/>
    <s v="AB-"/>
    <x v="4"/>
    <s v="Recovered"/>
  </r>
  <r>
    <x v="359"/>
    <s v="2025-09-04"/>
    <x v="37"/>
    <x v="1"/>
    <x v="5"/>
    <s v="Dr. Meera"/>
    <x v="3"/>
    <n v="141507.45000000001"/>
    <n v="13"/>
    <x v="1"/>
    <s v="A-"/>
    <x v="2"/>
    <s v="Recovered"/>
  </r>
  <r>
    <x v="360"/>
    <s v="2026-01-24"/>
    <x v="18"/>
    <x v="0"/>
    <x v="1"/>
    <s v="Dr. Rahul"/>
    <x v="5"/>
    <n v="149561.71"/>
    <n v="19"/>
    <x v="1"/>
    <s v="O-"/>
    <x v="1"/>
    <s v="Recovered"/>
  </r>
  <r>
    <x v="361"/>
    <s v="2026-05-08"/>
    <x v="59"/>
    <x v="1"/>
    <x v="4"/>
    <s v="Dr. Priya"/>
    <x v="4"/>
    <n v="84003"/>
    <n v="20"/>
    <x v="0"/>
    <s v="B-"/>
    <x v="2"/>
    <s v="Under Treatment"/>
  </r>
  <r>
    <x v="362"/>
    <s v="2025-08-17"/>
    <x v="68"/>
    <x v="0"/>
    <x v="5"/>
    <s v="Dr. Anil"/>
    <x v="0"/>
    <n v="118014.72"/>
    <n v="11"/>
    <x v="1"/>
    <s v="B+"/>
    <x v="0"/>
    <s v="Recovered"/>
  </r>
  <r>
    <x v="363"/>
    <s v="2025-11-26"/>
    <x v="61"/>
    <x v="0"/>
    <x v="0"/>
    <s v="Dr. Anil"/>
    <x v="1"/>
    <n v="126417.18"/>
    <n v="1"/>
    <x v="0"/>
    <s v="B+"/>
    <x v="1"/>
    <s v="Referred"/>
  </r>
  <r>
    <x v="364"/>
    <s v="2025-05-25"/>
    <x v="73"/>
    <x v="1"/>
    <x v="2"/>
    <s v="Dr. Priya"/>
    <x v="2"/>
    <n v="141942.9"/>
    <n v="7"/>
    <x v="0"/>
    <s v="O-"/>
    <x v="2"/>
    <s v="Recovered"/>
  </r>
  <r>
    <x v="365"/>
    <s v="2026-02-01"/>
    <x v="60"/>
    <x v="0"/>
    <x v="2"/>
    <s v="Dr. Arun"/>
    <x v="1"/>
    <n v="56221.48"/>
    <n v="18"/>
    <x v="0"/>
    <s v="A-"/>
    <x v="4"/>
    <s v="Referred"/>
  </r>
  <r>
    <x v="366"/>
    <s v="2025-02-24"/>
    <x v="76"/>
    <x v="0"/>
    <x v="2"/>
    <s v="Dr. Meera"/>
    <x v="4"/>
    <n v="123523.69"/>
    <n v="19"/>
    <x v="1"/>
    <s v="AB+"/>
    <x v="4"/>
    <s v="Recovered"/>
  </r>
  <r>
    <x v="367"/>
    <s v="2026-02-05"/>
    <x v="27"/>
    <x v="1"/>
    <x v="2"/>
    <s v="Dr. Anil"/>
    <x v="0"/>
    <n v="149377.73000000001"/>
    <n v="19"/>
    <x v="0"/>
    <s v="B+"/>
    <x v="3"/>
    <s v="Under Treatment"/>
  </r>
  <r>
    <x v="368"/>
    <s v="2025-02-28"/>
    <x v="73"/>
    <x v="0"/>
    <x v="5"/>
    <s v="Dr. Anil"/>
    <x v="0"/>
    <n v="1528.26"/>
    <n v="16"/>
    <x v="0"/>
    <s v="AB-"/>
    <x v="3"/>
    <s v="Referred"/>
  </r>
  <r>
    <x v="369"/>
    <s v="2026-05-20"/>
    <x v="45"/>
    <x v="1"/>
    <x v="2"/>
    <s v="Dr. Nisha"/>
    <x v="1"/>
    <n v="130018.88"/>
    <n v="19"/>
    <x v="0"/>
    <s v="A-"/>
    <x v="5"/>
    <s v="Recovered"/>
  </r>
  <r>
    <x v="370"/>
    <s v="2025-07-20"/>
    <x v="28"/>
    <x v="0"/>
    <x v="0"/>
    <s v="Dr. Priya"/>
    <x v="2"/>
    <n v="11543.94"/>
    <n v="3"/>
    <x v="1"/>
    <s v="A-"/>
    <x v="4"/>
    <s v="Recovered"/>
  </r>
  <r>
    <x v="371"/>
    <s v="2025-04-29"/>
    <x v="20"/>
    <x v="1"/>
    <x v="4"/>
    <s v="Dr. Rahul"/>
    <x v="3"/>
    <n v="60640.94"/>
    <n v="1"/>
    <x v="1"/>
    <s v="O-"/>
    <x v="0"/>
    <s v="Under Treatment"/>
  </r>
  <r>
    <x v="372"/>
    <s v="2025-11-04"/>
    <x v="88"/>
    <x v="1"/>
    <x v="2"/>
    <s v="Dr. Arun"/>
    <x v="4"/>
    <n v="96866.23"/>
    <n v="16"/>
    <x v="0"/>
    <s v="AB-"/>
    <x v="0"/>
    <s v="Under Treatment"/>
  </r>
  <r>
    <x v="373"/>
    <s v="2025-06-06"/>
    <x v="71"/>
    <x v="1"/>
    <x v="2"/>
    <s v="Dr. Nisha"/>
    <x v="3"/>
    <n v="14216.28"/>
    <n v="18"/>
    <x v="0"/>
    <s v="B-"/>
    <x v="3"/>
    <s v="Referred"/>
  </r>
  <r>
    <x v="374"/>
    <s v="2026-06-22"/>
    <x v="15"/>
    <x v="0"/>
    <x v="5"/>
    <s v="Dr. Priya"/>
    <x v="3"/>
    <n v="58936.63"/>
    <n v="17"/>
    <x v="1"/>
    <s v="AB+"/>
    <x v="0"/>
    <s v="Referred"/>
  </r>
  <r>
    <x v="375"/>
    <s v="2025-03-11"/>
    <x v="69"/>
    <x v="0"/>
    <x v="5"/>
    <s v="Dr. Rahul"/>
    <x v="5"/>
    <n v="30062.720000000001"/>
    <n v="5"/>
    <x v="1"/>
    <s v="A+"/>
    <x v="3"/>
    <s v="Referred"/>
  </r>
  <r>
    <x v="376"/>
    <s v="2026-06-21"/>
    <x v="78"/>
    <x v="1"/>
    <x v="4"/>
    <s v="Dr. Anil"/>
    <x v="5"/>
    <n v="93009.29"/>
    <n v="3"/>
    <x v="0"/>
    <s v="O+"/>
    <x v="5"/>
    <s v="Recovered"/>
  </r>
  <r>
    <x v="377"/>
    <s v="2025-09-23"/>
    <x v="15"/>
    <x v="0"/>
    <x v="5"/>
    <s v="Dr. Rahul"/>
    <x v="3"/>
    <n v="61431.81"/>
    <n v="8"/>
    <x v="1"/>
    <s v="AB-"/>
    <x v="4"/>
    <s v="Recovered"/>
  </r>
  <r>
    <x v="378"/>
    <s v="2025-05-09"/>
    <x v="0"/>
    <x v="1"/>
    <x v="1"/>
    <s v="Dr. Rahul"/>
    <x v="4"/>
    <n v="98525.25"/>
    <n v="17"/>
    <x v="0"/>
    <s v="O-"/>
    <x v="1"/>
    <s v="Recovered"/>
  </r>
  <r>
    <x v="379"/>
    <s v="2025-10-07"/>
    <x v="80"/>
    <x v="0"/>
    <x v="0"/>
    <s v="Dr. Arun"/>
    <x v="1"/>
    <n v="110139.02"/>
    <n v="15"/>
    <x v="0"/>
    <s v="AB-"/>
    <x v="2"/>
    <s v="Under Treatment"/>
  </r>
  <r>
    <x v="380"/>
    <s v="2025-03-28"/>
    <x v="53"/>
    <x v="1"/>
    <x v="4"/>
    <s v="Dr. Arun"/>
    <x v="0"/>
    <n v="126418.99"/>
    <n v="16"/>
    <x v="1"/>
    <s v="AB-"/>
    <x v="3"/>
    <s v="Under Treatment"/>
  </r>
  <r>
    <x v="381"/>
    <s v="2026-03-19"/>
    <x v="85"/>
    <x v="0"/>
    <x v="1"/>
    <s v="Dr. Priya"/>
    <x v="2"/>
    <n v="73029.08"/>
    <n v="17"/>
    <x v="0"/>
    <s v="O+"/>
    <x v="1"/>
    <s v="Referred"/>
  </r>
  <r>
    <x v="382"/>
    <s v="2025-05-24"/>
    <x v="83"/>
    <x v="1"/>
    <x v="0"/>
    <s v="Dr. Nisha"/>
    <x v="1"/>
    <n v="75129.259999999995"/>
    <n v="14"/>
    <x v="1"/>
    <s v="B-"/>
    <x v="4"/>
    <s v="Referred"/>
  </r>
  <r>
    <x v="383"/>
    <s v="2026-04-08"/>
    <x v="87"/>
    <x v="0"/>
    <x v="1"/>
    <s v="Dr. Meera"/>
    <x v="0"/>
    <n v="72261.83"/>
    <n v="12"/>
    <x v="1"/>
    <s v="O+"/>
    <x v="3"/>
    <s v="Referred"/>
  </r>
  <r>
    <x v="384"/>
    <s v="2025-05-29"/>
    <x v="10"/>
    <x v="1"/>
    <x v="3"/>
    <s v="Dr. Rahul"/>
    <x v="0"/>
    <n v="3631.77"/>
    <n v="5"/>
    <x v="1"/>
    <s v="A-"/>
    <x v="0"/>
    <s v="Under Treatment"/>
  </r>
  <r>
    <x v="385"/>
    <s v="2025-09-04"/>
    <x v="7"/>
    <x v="0"/>
    <x v="3"/>
    <s v="Dr. Anil"/>
    <x v="0"/>
    <n v="95343.89"/>
    <n v="14"/>
    <x v="0"/>
    <s v="A-"/>
    <x v="5"/>
    <s v="Referred"/>
  </r>
  <r>
    <x v="386"/>
    <s v="2025-08-04"/>
    <x v="24"/>
    <x v="1"/>
    <x v="1"/>
    <s v="Dr. Priya"/>
    <x v="0"/>
    <n v="116772.43"/>
    <n v="8"/>
    <x v="0"/>
    <s v="AB-"/>
    <x v="5"/>
    <s v="Referred"/>
  </r>
  <r>
    <x v="387"/>
    <s v="2025-11-27"/>
    <x v="16"/>
    <x v="1"/>
    <x v="0"/>
    <s v="Dr. Anil"/>
    <x v="2"/>
    <n v="49291.79"/>
    <n v="18"/>
    <x v="1"/>
    <s v="A+"/>
    <x v="5"/>
    <s v="Under Treatment"/>
  </r>
  <r>
    <x v="388"/>
    <s v="2025-06-12"/>
    <x v="50"/>
    <x v="0"/>
    <x v="0"/>
    <s v="Dr. Meera"/>
    <x v="2"/>
    <n v="66181.27"/>
    <n v="3"/>
    <x v="1"/>
    <s v="A+"/>
    <x v="4"/>
    <s v="Referred"/>
  </r>
  <r>
    <x v="389"/>
    <s v="2026-03-04"/>
    <x v="35"/>
    <x v="1"/>
    <x v="5"/>
    <s v="Dr. Nisha"/>
    <x v="0"/>
    <n v="86307.86"/>
    <n v="11"/>
    <x v="1"/>
    <s v="AB-"/>
    <x v="5"/>
    <s v="Under Treatment"/>
  </r>
  <r>
    <x v="390"/>
    <s v="2026-06-23"/>
    <x v="49"/>
    <x v="0"/>
    <x v="1"/>
    <s v="Dr. Anil"/>
    <x v="5"/>
    <n v="34556.43"/>
    <n v="3"/>
    <x v="0"/>
    <s v="O-"/>
    <x v="5"/>
    <s v="Under Treatment"/>
  </r>
  <r>
    <x v="391"/>
    <s v="2025-11-21"/>
    <x v="2"/>
    <x v="1"/>
    <x v="1"/>
    <s v="Dr. Nisha"/>
    <x v="3"/>
    <n v="91369.61"/>
    <n v="1"/>
    <x v="0"/>
    <s v="AB-"/>
    <x v="1"/>
    <s v="Recovered"/>
  </r>
  <r>
    <x v="392"/>
    <s v="2026-05-07"/>
    <x v="62"/>
    <x v="0"/>
    <x v="0"/>
    <s v="Dr. Priya"/>
    <x v="3"/>
    <n v="119983.26"/>
    <n v="13"/>
    <x v="1"/>
    <s v="O+"/>
    <x v="2"/>
    <s v="Under Treatment"/>
  </r>
  <r>
    <x v="393"/>
    <s v="2026-04-21"/>
    <x v="23"/>
    <x v="1"/>
    <x v="3"/>
    <s v="Dr. Priya"/>
    <x v="2"/>
    <n v="133331.85999999999"/>
    <n v="2"/>
    <x v="0"/>
    <s v="AB-"/>
    <x v="3"/>
    <s v="Under Treatment"/>
  </r>
  <r>
    <x v="394"/>
    <s v="2025-10-12"/>
    <x v="53"/>
    <x v="1"/>
    <x v="4"/>
    <s v="Dr. Priya"/>
    <x v="4"/>
    <n v="148094.04999999999"/>
    <n v="8"/>
    <x v="1"/>
    <s v="B+"/>
    <x v="0"/>
    <s v="Recovered"/>
  </r>
  <r>
    <x v="395"/>
    <s v="2025-05-20"/>
    <x v="78"/>
    <x v="0"/>
    <x v="2"/>
    <s v="Dr. Rahul"/>
    <x v="1"/>
    <n v="100089.73"/>
    <n v="13"/>
    <x v="0"/>
    <s v="B-"/>
    <x v="2"/>
    <s v="Recovered"/>
  </r>
  <r>
    <x v="396"/>
    <s v="2026-04-28"/>
    <x v="58"/>
    <x v="0"/>
    <x v="0"/>
    <s v="Dr. Meera"/>
    <x v="1"/>
    <n v="46124.25"/>
    <n v="5"/>
    <x v="1"/>
    <s v="A-"/>
    <x v="1"/>
    <s v="Under Treatment"/>
  </r>
  <r>
    <x v="397"/>
    <s v="2025-02-28"/>
    <x v="6"/>
    <x v="0"/>
    <x v="3"/>
    <s v="Dr. Rahul"/>
    <x v="3"/>
    <n v="138743.31"/>
    <n v="18"/>
    <x v="0"/>
    <s v="A+"/>
    <x v="1"/>
    <s v="Recovered"/>
  </r>
  <r>
    <x v="398"/>
    <s v="2025-10-28"/>
    <x v="52"/>
    <x v="0"/>
    <x v="2"/>
    <s v="Dr. Priya"/>
    <x v="0"/>
    <n v="105809.15"/>
    <n v="8"/>
    <x v="0"/>
    <s v="O+"/>
    <x v="3"/>
    <s v="Under Treatment"/>
  </r>
  <r>
    <x v="399"/>
    <s v="2025-10-06"/>
    <x v="47"/>
    <x v="0"/>
    <x v="3"/>
    <s v="Dr. Anil"/>
    <x v="5"/>
    <n v="148147.54999999999"/>
    <n v="3"/>
    <x v="0"/>
    <s v="AB-"/>
    <x v="3"/>
    <s v="Under Treatment"/>
  </r>
  <r>
    <x v="400"/>
    <s v="2026-03-28"/>
    <x v="26"/>
    <x v="0"/>
    <x v="0"/>
    <s v="Dr. Rahul"/>
    <x v="2"/>
    <n v="129845.87"/>
    <n v="10"/>
    <x v="0"/>
    <s v="AB-"/>
    <x v="0"/>
    <s v="Recovered"/>
  </r>
  <r>
    <x v="401"/>
    <s v="2025-10-18"/>
    <x v="48"/>
    <x v="1"/>
    <x v="1"/>
    <s v="Dr. Arun"/>
    <x v="2"/>
    <n v="74518.64"/>
    <n v="11"/>
    <x v="1"/>
    <s v="A-"/>
    <x v="4"/>
    <s v="Recovered"/>
  </r>
  <r>
    <x v="402"/>
    <s v="2025-03-18"/>
    <x v="51"/>
    <x v="1"/>
    <x v="5"/>
    <s v="Dr. Rahul"/>
    <x v="2"/>
    <n v="87682.69"/>
    <n v="8"/>
    <x v="1"/>
    <s v="B-"/>
    <x v="5"/>
    <s v="Recovered"/>
  </r>
  <r>
    <x v="403"/>
    <s v="2025-10-24"/>
    <x v="66"/>
    <x v="1"/>
    <x v="3"/>
    <s v="Dr. Meera"/>
    <x v="3"/>
    <n v="120234.07"/>
    <n v="11"/>
    <x v="1"/>
    <s v="AB+"/>
    <x v="5"/>
    <s v="Referred"/>
  </r>
  <r>
    <x v="404"/>
    <s v="2026-04-10"/>
    <x v="16"/>
    <x v="1"/>
    <x v="2"/>
    <s v="Dr. Nisha"/>
    <x v="3"/>
    <n v="142082.62"/>
    <n v="19"/>
    <x v="1"/>
    <s v="AB+"/>
    <x v="3"/>
    <s v="Under Treatment"/>
  </r>
  <r>
    <x v="405"/>
    <s v="2025-10-15"/>
    <x v="69"/>
    <x v="0"/>
    <x v="1"/>
    <s v="Dr. Anil"/>
    <x v="2"/>
    <n v="110906.32"/>
    <n v="12"/>
    <x v="1"/>
    <s v="AB+"/>
    <x v="2"/>
    <s v="Recovered"/>
  </r>
  <r>
    <x v="406"/>
    <s v="2025-04-02"/>
    <x v="79"/>
    <x v="0"/>
    <x v="2"/>
    <s v="Dr. Rahul"/>
    <x v="5"/>
    <n v="66228.320000000007"/>
    <n v="12"/>
    <x v="0"/>
    <s v="B-"/>
    <x v="5"/>
    <s v="Recovered"/>
  </r>
  <r>
    <x v="407"/>
    <s v="2025-06-18"/>
    <x v="14"/>
    <x v="0"/>
    <x v="2"/>
    <s v="Dr. Priya"/>
    <x v="0"/>
    <n v="35447.9"/>
    <n v="9"/>
    <x v="1"/>
    <s v="B+"/>
    <x v="4"/>
    <s v="Recovered"/>
  </r>
  <r>
    <x v="408"/>
    <s v="2026-02-11"/>
    <x v="83"/>
    <x v="1"/>
    <x v="3"/>
    <s v="Dr. Priya"/>
    <x v="2"/>
    <n v="77495.34"/>
    <n v="4"/>
    <x v="1"/>
    <s v="B-"/>
    <x v="2"/>
    <s v="Under Treatment"/>
  </r>
  <r>
    <x v="409"/>
    <s v="2025-07-29"/>
    <x v="35"/>
    <x v="0"/>
    <x v="3"/>
    <s v="Dr. Rahul"/>
    <x v="0"/>
    <n v="64484.7"/>
    <n v="17"/>
    <x v="1"/>
    <s v="B-"/>
    <x v="0"/>
    <s v="Under Treatment"/>
  </r>
  <r>
    <x v="410"/>
    <s v="2025-09-22"/>
    <x v="44"/>
    <x v="0"/>
    <x v="0"/>
    <s v="Dr. Nisha"/>
    <x v="5"/>
    <n v="30617.64"/>
    <n v="10"/>
    <x v="0"/>
    <s v="A+"/>
    <x v="2"/>
    <s v="Recovered"/>
  </r>
  <r>
    <x v="411"/>
    <s v="2026-06-18"/>
    <x v="83"/>
    <x v="0"/>
    <x v="1"/>
    <s v="Dr. Priya"/>
    <x v="3"/>
    <n v="30455.19"/>
    <n v="11"/>
    <x v="1"/>
    <s v="B-"/>
    <x v="1"/>
    <s v="Referred"/>
  </r>
  <r>
    <x v="412"/>
    <s v="2025-09-28"/>
    <x v="16"/>
    <x v="1"/>
    <x v="1"/>
    <s v="Dr. Priya"/>
    <x v="3"/>
    <n v="123874.72"/>
    <n v="2"/>
    <x v="0"/>
    <s v="AB+"/>
    <x v="5"/>
    <s v="Under Treatment"/>
  </r>
  <r>
    <x v="413"/>
    <s v="2025-07-23"/>
    <x v="75"/>
    <x v="1"/>
    <x v="1"/>
    <s v="Dr. Nisha"/>
    <x v="0"/>
    <n v="78553.990000000005"/>
    <n v="19"/>
    <x v="0"/>
    <s v="O-"/>
    <x v="2"/>
    <s v="Referred"/>
  </r>
  <r>
    <x v="414"/>
    <s v="2025-01-10"/>
    <x v="20"/>
    <x v="1"/>
    <x v="1"/>
    <s v="Dr. Anil"/>
    <x v="1"/>
    <n v="131893.01"/>
    <n v="16"/>
    <x v="1"/>
    <s v="A-"/>
    <x v="0"/>
    <s v="Referred"/>
  </r>
  <r>
    <x v="415"/>
    <s v="2025-03-31"/>
    <x v="66"/>
    <x v="1"/>
    <x v="2"/>
    <s v="Dr. Nisha"/>
    <x v="5"/>
    <n v="24361.96"/>
    <n v="11"/>
    <x v="1"/>
    <s v="A-"/>
    <x v="5"/>
    <s v="Under Treatment"/>
  </r>
  <r>
    <x v="416"/>
    <s v="2025-05-05"/>
    <x v="78"/>
    <x v="0"/>
    <x v="0"/>
    <s v="Dr. Arun"/>
    <x v="3"/>
    <n v="81601"/>
    <n v="14"/>
    <x v="1"/>
    <s v="A-"/>
    <x v="3"/>
    <s v="Referred"/>
  </r>
  <r>
    <x v="417"/>
    <s v="2025-12-01"/>
    <x v="42"/>
    <x v="1"/>
    <x v="3"/>
    <s v="Dr. Rahul"/>
    <x v="4"/>
    <n v="110722.81"/>
    <n v="15"/>
    <x v="0"/>
    <s v="AB-"/>
    <x v="3"/>
    <s v="Referred"/>
  </r>
  <r>
    <x v="418"/>
    <s v="2025-01-12"/>
    <x v="52"/>
    <x v="1"/>
    <x v="3"/>
    <s v="Dr. Priya"/>
    <x v="3"/>
    <n v="95592.88"/>
    <n v="20"/>
    <x v="1"/>
    <s v="B-"/>
    <x v="2"/>
    <s v="Referred"/>
  </r>
  <r>
    <x v="419"/>
    <s v="2025-01-12"/>
    <x v="64"/>
    <x v="1"/>
    <x v="4"/>
    <s v="Dr. Rahul"/>
    <x v="4"/>
    <n v="8371.06"/>
    <n v="5"/>
    <x v="0"/>
    <s v="AB+"/>
    <x v="3"/>
    <s v="Referred"/>
  </r>
  <r>
    <x v="420"/>
    <s v="2026-02-27"/>
    <x v="58"/>
    <x v="1"/>
    <x v="1"/>
    <s v="Dr. Rahul"/>
    <x v="5"/>
    <n v="127483.65"/>
    <n v="17"/>
    <x v="0"/>
    <s v="B+"/>
    <x v="0"/>
    <s v="Referred"/>
  </r>
  <r>
    <x v="421"/>
    <s v="2026-04-12"/>
    <x v="10"/>
    <x v="1"/>
    <x v="5"/>
    <s v="Dr. Meera"/>
    <x v="4"/>
    <n v="93634.25"/>
    <n v="6"/>
    <x v="0"/>
    <s v="O-"/>
    <x v="2"/>
    <s v="Under Treatment"/>
  </r>
  <r>
    <x v="422"/>
    <s v="2026-05-15"/>
    <x v="64"/>
    <x v="1"/>
    <x v="2"/>
    <s v="Dr. Meera"/>
    <x v="5"/>
    <n v="134868.76"/>
    <n v="2"/>
    <x v="1"/>
    <s v="A-"/>
    <x v="0"/>
    <s v="Referred"/>
  </r>
  <r>
    <x v="423"/>
    <s v="2025-05-03"/>
    <x v="17"/>
    <x v="1"/>
    <x v="1"/>
    <s v="Dr. Priya"/>
    <x v="0"/>
    <n v="5032.8599999999997"/>
    <n v="11"/>
    <x v="1"/>
    <s v="A+"/>
    <x v="5"/>
    <s v="Under Treatment"/>
  </r>
  <r>
    <x v="424"/>
    <s v="2026-05-29"/>
    <x v="59"/>
    <x v="1"/>
    <x v="5"/>
    <s v="Dr. Priya"/>
    <x v="5"/>
    <n v="86912.44"/>
    <n v="8"/>
    <x v="0"/>
    <s v="A-"/>
    <x v="4"/>
    <s v="Referred"/>
  </r>
  <r>
    <x v="425"/>
    <s v="2026-04-12"/>
    <x v="41"/>
    <x v="0"/>
    <x v="2"/>
    <s v="Dr. Rahul"/>
    <x v="0"/>
    <n v="128604.03"/>
    <n v="5"/>
    <x v="1"/>
    <s v="AB-"/>
    <x v="3"/>
    <s v="Recovered"/>
  </r>
  <r>
    <x v="426"/>
    <s v="2025-02-23"/>
    <x v="44"/>
    <x v="0"/>
    <x v="1"/>
    <s v="Dr. Meera"/>
    <x v="0"/>
    <n v="59896.7"/>
    <n v="3"/>
    <x v="0"/>
    <s v="A-"/>
    <x v="2"/>
    <s v="Recovered"/>
  </r>
  <r>
    <x v="427"/>
    <s v="2025-06-23"/>
    <x v="74"/>
    <x v="1"/>
    <x v="4"/>
    <s v="Dr. Arun"/>
    <x v="1"/>
    <n v="127148.66"/>
    <n v="3"/>
    <x v="0"/>
    <s v="B+"/>
    <x v="2"/>
    <s v="Recovered"/>
  </r>
  <r>
    <x v="428"/>
    <s v="2025-05-12"/>
    <x v="14"/>
    <x v="0"/>
    <x v="4"/>
    <s v="Dr. Nisha"/>
    <x v="1"/>
    <n v="138110.26999999999"/>
    <n v="11"/>
    <x v="0"/>
    <s v="AB-"/>
    <x v="5"/>
    <s v="Under Treatment"/>
  </r>
  <r>
    <x v="429"/>
    <s v="2025-09-08"/>
    <x v="74"/>
    <x v="1"/>
    <x v="3"/>
    <s v="Dr. Priya"/>
    <x v="4"/>
    <n v="45800.72"/>
    <n v="5"/>
    <x v="0"/>
    <s v="O-"/>
    <x v="5"/>
    <s v="Recovered"/>
  </r>
  <r>
    <x v="430"/>
    <s v="2025-11-04"/>
    <x v="83"/>
    <x v="1"/>
    <x v="4"/>
    <s v="Dr. Meera"/>
    <x v="2"/>
    <n v="136956.96"/>
    <n v="15"/>
    <x v="0"/>
    <s v="AB-"/>
    <x v="0"/>
    <s v="Under Treatment"/>
  </r>
  <r>
    <x v="431"/>
    <s v="2025-04-20"/>
    <x v="20"/>
    <x v="1"/>
    <x v="0"/>
    <s v="Dr. Nisha"/>
    <x v="1"/>
    <n v="12743.86"/>
    <n v="5"/>
    <x v="1"/>
    <s v="AB+"/>
    <x v="3"/>
    <s v="Recovered"/>
  </r>
  <r>
    <x v="432"/>
    <s v="2025-06-30"/>
    <x v="37"/>
    <x v="0"/>
    <x v="0"/>
    <s v="Dr. Meera"/>
    <x v="4"/>
    <n v="59987.7"/>
    <n v="16"/>
    <x v="1"/>
    <s v="O-"/>
    <x v="1"/>
    <s v="Referred"/>
  </r>
  <r>
    <x v="433"/>
    <s v="2025-02-28"/>
    <x v="80"/>
    <x v="1"/>
    <x v="5"/>
    <s v="Dr. Priya"/>
    <x v="3"/>
    <n v="90486.55"/>
    <n v="4"/>
    <x v="1"/>
    <s v="B+"/>
    <x v="0"/>
    <s v="Under Treatment"/>
  </r>
  <r>
    <x v="434"/>
    <s v="2025-06-06"/>
    <x v="44"/>
    <x v="1"/>
    <x v="1"/>
    <s v="Dr. Anil"/>
    <x v="4"/>
    <n v="107446.41"/>
    <n v="7"/>
    <x v="0"/>
    <s v="A-"/>
    <x v="1"/>
    <s v="Referred"/>
  </r>
  <r>
    <x v="435"/>
    <s v="2026-05-30"/>
    <x v="51"/>
    <x v="0"/>
    <x v="0"/>
    <s v="Dr. Rahul"/>
    <x v="0"/>
    <n v="22394.35"/>
    <n v="13"/>
    <x v="0"/>
    <s v="AB+"/>
    <x v="4"/>
    <s v="Under Treatment"/>
  </r>
  <r>
    <x v="436"/>
    <s v="2025-10-24"/>
    <x v="84"/>
    <x v="0"/>
    <x v="2"/>
    <s v="Dr. Nisha"/>
    <x v="3"/>
    <n v="142515.29"/>
    <n v="18"/>
    <x v="1"/>
    <s v="A-"/>
    <x v="3"/>
    <s v="Under Treatment"/>
  </r>
  <r>
    <x v="437"/>
    <s v="2026-01-05"/>
    <x v="61"/>
    <x v="1"/>
    <x v="2"/>
    <s v="Dr. Arun"/>
    <x v="1"/>
    <n v="52106.35"/>
    <n v="14"/>
    <x v="1"/>
    <s v="O-"/>
    <x v="5"/>
    <s v="Recovered"/>
  </r>
  <r>
    <x v="438"/>
    <s v="2025-05-13"/>
    <x v="2"/>
    <x v="1"/>
    <x v="3"/>
    <s v="Dr. Anil"/>
    <x v="3"/>
    <n v="118730.68"/>
    <n v="19"/>
    <x v="1"/>
    <s v="A-"/>
    <x v="3"/>
    <s v="Recovered"/>
  </r>
  <r>
    <x v="439"/>
    <s v="2025-02-07"/>
    <x v="3"/>
    <x v="1"/>
    <x v="2"/>
    <s v="Dr. Rahul"/>
    <x v="2"/>
    <n v="96116.42"/>
    <n v="13"/>
    <x v="0"/>
    <s v="O+"/>
    <x v="5"/>
    <s v="Recovered"/>
  </r>
  <r>
    <x v="440"/>
    <s v="2025-05-17"/>
    <x v="20"/>
    <x v="1"/>
    <x v="3"/>
    <s v="Dr. Arun"/>
    <x v="3"/>
    <n v="83503.48"/>
    <n v="14"/>
    <x v="0"/>
    <s v="A-"/>
    <x v="3"/>
    <s v="Referred"/>
  </r>
  <r>
    <x v="441"/>
    <s v="2025-10-05"/>
    <x v="81"/>
    <x v="0"/>
    <x v="4"/>
    <s v="Dr. Arun"/>
    <x v="1"/>
    <n v="5421.36"/>
    <n v="8"/>
    <x v="1"/>
    <s v="A-"/>
    <x v="5"/>
    <s v="Under Treatment"/>
  </r>
  <r>
    <x v="442"/>
    <s v="2025-11-11"/>
    <x v="36"/>
    <x v="1"/>
    <x v="2"/>
    <s v="Dr. Priya"/>
    <x v="3"/>
    <n v="72614.23"/>
    <n v="7"/>
    <x v="0"/>
    <s v="A+"/>
    <x v="5"/>
    <s v="Under Treatment"/>
  </r>
  <r>
    <x v="443"/>
    <s v="2025-01-07"/>
    <x v="78"/>
    <x v="1"/>
    <x v="1"/>
    <s v="Dr. Rahul"/>
    <x v="0"/>
    <n v="118045.36"/>
    <n v="20"/>
    <x v="0"/>
    <s v="O-"/>
    <x v="1"/>
    <s v="Recovered"/>
  </r>
  <r>
    <x v="444"/>
    <s v="2025-11-19"/>
    <x v="36"/>
    <x v="0"/>
    <x v="1"/>
    <s v="Dr. Rahul"/>
    <x v="3"/>
    <n v="86436.09"/>
    <n v="12"/>
    <x v="0"/>
    <s v="B+"/>
    <x v="5"/>
    <s v="Recovered"/>
  </r>
  <r>
    <x v="445"/>
    <s v="2026-02-16"/>
    <x v="66"/>
    <x v="0"/>
    <x v="4"/>
    <s v="Dr. Priya"/>
    <x v="2"/>
    <n v="106453.88"/>
    <n v="4"/>
    <x v="1"/>
    <s v="B+"/>
    <x v="5"/>
    <s v="Referred"/>
  </r>
  <r>
    <x v="446"/>
    <s v="2025-05-14"/>
    <x v="32"/>
    <x v="0"/>
    <x v="5"/>
    <s v="Dr. Rahul"/>
    <x v="5"/>
    <n v="129400.68"/>
    <n v="17"/>
    <x v="0"/>
    <s v="AB-"/>
    <x v="0"/>
    <s v="Referred"/>
  </r>
  <r>
    <x v="447"/>
    <s v="2025-08-11"/>
    <x v="21"/>
    <x v="0"/>
    <x v="4"/>
    <s v="Dr. Anil"/>
    <x v="5"/>
    <n v="147394.89000000001"/>
    <n v="4"/>
    <x v="0"/>
    <s v="O+"/>
    <x v="1"/>
    <s v="Recovered"/>
  </r>
  <r>
    <x v="448"/>
    <s v="2026-02-04"/>
    <x v="72"/>
    <x v="0"/>
    <x v="4"/>
    <s v="Dr. Rahul"/>
    <x v="4"/>
    <n v="147364.23000000001"/>
    <n v="16"/>
    <x v="1"/>
    <s v="A-"/>
    <x v="2"/>
    <s v="Under Treatment"/>
  </r>
  <r>
    <x v="449"/>
    <s v="2025-09-03"/>
    <x v="50"/>
    <x v="0"/>
    <x v="1"/>
    <s v="Dr. Meera"/>
    <x v="5"/>
    <n v="27310.92"/>
    <n v="3"/>
    <x v="1"/>
    <s v="B-"/>
    <x v="0"/>
    <s v="Recovered"/>
  </r>
  <r>
    <x v="450"/>
    <s v="2025-02-10"/>
    <x v="5"/>
    <x v="1"/>
    <x v="5"/>
    <s v="Dr. Meera"/>
    <x v="1"/>
    <n v="88228.82"/>
    <n v="4"/>
    <x v="1"/>
    <s v="O-"/>
    <x v="5"/>
    <s v="Recovered"/>
  </r>
  <r>
    <x v="451"/>
    <s v="2026-01-13"/>
    <x v="84"/>
    <x v="1"/>
    <x v="1"/>
    <s v="Dr. Meera"/>
    <x v="2"/>
    <n v="74103.710000000006"/>
    <n v="16"/>
    <x v="1"/>
    <s v="A-"/>
    <x v="1"/>
    <s v="Recovered"/>
  </r>
  <r>
    <x v="452"/>
    <s v="2025-01-19"/>
    <x v="40"/>
    <x v="0"/>
    <x v="0"/>
    <s v="Dr. Arun"/>
    <x v="2"/>
    <n v="115473.24"/>
    <n v="4"/>
    <x v="0"/>
    <s v="O-"/>
    <x v="5"/>
    <s v="Referred"/>
  </r>
  <r>
    <x v="453"/>
    <s v="2025-11-22"/>
    <x v="49"/>
    <x v="0"/>
    <x v="1"/>
    <s v="Dr. Nisha"/>
    <x v="5"/>
    <n v="51972.62"/>
    <n v="2"/>
    <x v="1"/>
    <s v="A+"/>
    <x v="2"/>
    <s v="Referred"/>
  </r>
  <r>
    <x v="454"/>
    <s v="2026-06-14"/>
    <x v="34"/>
    <x v="1"/>
    <x v="4"/>
    <s v="Dr. Nisha"/>
    <x v="4"/>
    <n v="135440.74"/>
    <n v="12"/>
    <x v="1"/>
    <s v="O-"/>
    <x v="3"/>
    <s v="Recovered"/>
  </r>
  <r>
    <x v="455"/>
    <s v="2025-08-16"/>
    <x v="61"/>
    <x v="0"/>
    <x v="0"/>
    <s v="Dr. Anil"/>
    <x v="1"/>
    <n v="85388.86"/>
    <n v="4"/>
    <x v="0"/>
    <s v="AB+"/>
    <x v="0"/>
    <s v="Recovered"/>
  </r>
  <r>
    <x v="456"/>
    <s v="2025-04-23"/>
    <x v="4"/>
    <x v="1"/>
    <x v="1"/>
    <s v="Dr. Priya"/>
    <x v="3"/>
    <n v="99485.89"/>
    <n v="3"/>
    <x v="1"/>
    <s v="A+"/>
    <x v="4"/>
    <s v="Referred"/>
  </r>
  <r>
    <x v="457"/>
    <s v="2026-06-10"/>
    <x v="70"/>
    <x v="0"/>
    <x v="3"/>
    <s v="Dr. Meera"/>
    <x v="0"/>
    <n v="126873.64"/>
    <n v="15"/>
    <x v="1"/>
    <s v="AB+"/>
    <x v="5"/>
    <s v="Referred"/>
  </r>
  <r>
    <x v="458"/>
    <s v="2025-03-05"/>
    <x v="38"/>
    <x v="1"/>
    <x v="3"/>
    <s v="Dr. Meera"/>
    <x v="3"/>
    <n v="19415.68"/>
    <n v="15"/>
    <x v="0"/>
    <s v="O+"/>
    <x v="5"/>
    <s v="Under Treatment"/>
  </r>
  <r>
    <x v="459"/>
    <s v="2025-03-27"/>
    <x v="69"/>
    <x v="0"/>
    <x v="5"/>
    <s v="Dr. Meera"/>
    <x v="5"/>
    <n v="31199.48"/>
    <n v="17"/>
    <x v="0"/>
    <s v="B-"/>
    <x v="4"/>
    <s v="Recovered"/>
  </r>
  <r>
    <x v="460"/>
    <s v="2026-03-02"/>
    <x v="59"/>
    <x v="0"/>
    <x v="2"/>
    <s v="Dr. Meera"/>
    <x v="3"/>
    <n v="82671.350000000006"/>
    <n v="6"/>
    <x v="0"/>
    <s v="AB+"/>
    <x v="2"/>
    <s v="Referred"/>
  </r>
  <r>
    <x v="461"/>
    <s v="2025-10-05"/>
    <x v="85"/>
    <x v="0"/>
    <x v="0"/>
    <s v="Dr. Rahul"/>
    <x v="0"/>
    <n v="51470.06"/>
    <n v="9"/>
    <x v="0"/>
    <s v="A+"/>
    <x v="3"/>
    <s v="Under Treatment"/>
  </r>
  <r>
    <x v="462"/>
    <s v="2025-03-28"/>
    <x v="46"/>
    <x v="1"/>
    <x v="1"/>
    <s v="Dr. Meera"/>
    <x v="2"/>
    <n v="99608.87"/>
    <n v="6"/>
    <x v="0"/>
    <s v="O-"/>
    <x v="4"/>
    <s v="Recovered"/>
  </r>
  <r>
    <x v="463"/>
    <s v="2025-12-27"/>
    <x v="32"/>
    <x v="0"/>
    <x v="0"/>
    <s v="Dr. Arun"/>
    <x v="5"/>
    <n v="89503.25"/>
    <n v="19"/>
    <x v="1"/>
    <s v="O-"/>
    <x v="4"/>
    <s v="Recovered"/>
  </r>
  <r>
    <x v="464"/>
    <s v="2025-11-15"/>
    <x v="34"/>
    <x v="0"/>
    <x v="3"/>
    <s v="Dr. Rahul"/>
    <x v="0"/>
    <n v="15067.81"/>
    <n v="19"/>
    <x v="0"/>
    <s v="AB-"/>
    <x v="1"/>
    <s v="Under Treatment"/>
  </r>
  <r>
    <x v="465"/>
    <s v="2026-04-04"/>
    <x v="87"/>
    <x v="1"/>
    <x v="0"/>
    <s v="Dr. Anil"/>
    <x v="0"/>
    <n v="52797.15"/>
    <n v="19"/>
    <x v="0"/>
    <s v="B+"/>
    <x v="0"/>
    <s v="Under Treatment"/>
  </r>
  <r>
    <x v="466"/>
    <s v="2025-09-18"/>
    <x v="83"/>
    <x v="1"/>
    <x v="4"/>
    <s v="Dr. Arun"/>
    <x v="4"/>
    <n v="66789.58"/>
    <n v="2"/>
    <x v="1"/>
    <s v="B-"/>
    <x v="0"/>
    <s v="Under Treatment"/>
  </r>
  <r>
    <x v="467"/>
    <s v="2026-05-13"/>
    <x v="72"/>
    <x v="0"/>
    <x v="2"/>
    <s v="Dr. Meera"/>
    <x v="0"/>
    <n v="58897.66"/>
    <n v="3"/>
    <x v="0"/>
    <s v="A-"/>
    <x v="3"/>
    <s v="Referred"/>
  </r>
  <r>
    <x v="468"/>
    <s v="2026-03-23"/>
    <x v="16"/>
    <x v="1"/>
    <x v="5"/>
    <s v="Dr. Rahul"/>
    <x v="5"/>
    <n v="72956.25"/>
    <n v="17"/>
    <x v="1"/>
    <s v="A-"/>
    <x v="5"/>
    <s v="Referred"/>
  </r>
  <r>
    <x v="469"/>
    <s v="2025-03-13"/>
    <x v="10"/>
    <x v="0"/>
    <x v="2"/>
    <s v="Dr. Rahul"/>
    <x v="2"/>
    <n v="97116.55"/>
    <n v="4"/>
    <x v="1"/>
    <s v="AB+"/>
    <x v="5"/>
    <s v="Recovered"/>
  </r>
  <r>
    <x v="470"/>
    <s v="2025-06-03"/>
    <x v="29"/>
    <x v="1"/>
    <x v="5"/>
    <s v="Dr. Anil"/>
    <x v="5"/>
    <n v="37588.019999999997"/>
    <n v="14"/>
    <x v="0"/>
    <s v="A-"/>
    <x v="1"/>
    <s v="Referred"/>
  </r>
  <r>
    <x v="471"/>
    <s v="2025-05-26"/>
    <x v="83"/>
    <x v="0"/>
    <x v="3"/>
    <s v="Dr. Anil"/>
    <x v="5"/>
    <n v="47930.21"/>
    <n v="9"/>
    <x v="1"/>
    <s v="AB+"/>
    <x v="3"/>
    <s v="Recovered"/>
  </r>
  <r>
    <x v="472"/>
    <s v="2025-02-20"/>
    <x v="37"/>
    <x v="1"/>
    <x v="3"/>
    <s v="Dr. Rahul"/>
    <x v="4"/>
    <n v="107446.04"/>
    <n v="8"/>
    <x v="1"/>
    <s v="O-"/>
    <x v="0"/>
    <s v="Referred"/>
  </r>
  <r>
    <x v="473"/>
    <s v="2026-06-10"/>
    <x v="14"/>
    <x v="0"/>
    <x v="5"/>
    <s v="Dr. Arun"/>
    <x v="5"/>
    <n v="118827.5"/>
    <n v="20"/>
    <x v="1"/>
    <s v="AB+"/>
    <x v="1"/>
    <s v="Referred"/>
  </r>
  <r>
    <x v="474"/>
    <s v="2025-12-08"/>
    <x v="59"/>
    <x v="0"/>
    <x v="0"/>
    <s v="Dr. Rahul"/>
    <x v="4"/>
    <n v="32537.61"/>
    <n v="14"/>
    <x v="1"/>
    <s v="O+"/>
    <x v="0"/>
    <s v="Recovered"/>
  </r>
  <r>
    <x v="475"/>
    <s v="2026-05-02"/>
    <x v="11"/>
    <x v="1"/>
    <x v="4"/>
    <s v="Dr. Arun"/>
    <x v="5"/>
    <n v="82761.740000000005"/>
    <n v="15"/>
    <x v="1"/>
    <s v="O+"/>
    <x v="3"/>
    <s v="Referred"/>
  </r>
  <r>
    <x v="476"/>
    <s v="2025-04-10"/>
    <x v="12"/>
    <x v="0"/>
    <x v="4"/>
    <s v="Dr. Nisha"/>
    <x v="3"/>
    <n v="126136.32000000001"/>
    <n v="7"/>
    <x v="1"/>
    <s v="AB+"/>
    <x v="5"/>
    <s v="Recovered"/>
  </r>
  <r>
    <x v="477"/>
    <s v="2025-06-05"/>
    <x v="32"/>
    <x v="0"/>
    <x v="5"/>
    <s v="Dr. Nisha"/>
    <x v="2"/>
    <n v="148761.28"/>
    <n v="10"/>
    <x v="0"/>
    <s v="O-"/>
    <x v="5"/>
    <s v="Recovered"/>
  </r>
  <r>
    <x v="478"/>
    <s v="2025-01-18"/>
    <x v="11"/>
    <x v="1"/>
    <x v="3"/>
    <s v="Dr. Arun"/>
    <x v="4"/>
    <n v="53101.19"/>
    <n v="8"/>
    <x v="0"/>
    <s v="AB-"/>
    <x v="5"/>
    <s v="Recovered"/>
  </r>
  <r>
    <x v="479"/>
    <s v="2025-02-04"/>
    <x v="54"/>
    <x v="1"/>
    <x v="2"/>
    <s v="Dr. Arun"/>
    <x v="3"/>
    <n v="59583.31"/>
    <n v="4"/>
    <x v="1"/>
    <s v="B-"/>
    <x v="1"/>
    <s v="Recovered"/>
  </r>
  <r>
    <x v="480"/>
    <s v="2025-03-15"/>
    <x v="87"/>
    <x v="0"/>
    <x v="0"/>
    <s v="Dr. Nisha"/>
    <x v="3"/>
    <n v="4377.6000000000004"/>
    <n v="13"/>
    <x v="0"/>
    <s v="A-"/>
    <x v="3"/>
    <s v="Under Treatment"/>
  </r>
  <r>
    <x v="481"/>
    <s v="2025-06-26"/>
    <x v="83"/>
    <x v="1"/>
    <x v="0"/>
    <s v="Dr. Anil"/>
    <x v="1"/>
    <n v="12628.96"/>
    <n v="10"/>
    <x v="0"/>
    <s v="AB-"/>
    <x v="4"/>
    <s v="Under Treatment"/>
  </r>
  <r>
    <x v="482"/>
    <s v="2026-02-14"/>
    <x v="14"/>
    <x v="1"/>
    <x v="4"/>
    <s v="Dr. Rahul"/>
    <x v="1"/>
    <n v="141021.48000000001"/>
    <n v="9"/>
    <x v="1"/>
    <s v="A+"/>
    <x v="3"/>
    <s v="Recovered"/>
  </r>
  <r>
    <x v="483"/>
    <s v="2025-07-05"/>
    <x v="57"/>
    <x v="1"/>
    <x v="0"/>
    <s v="Dr. Anil"/>
    <x v="1"/>
    <n v="24010.86"/>
    <n v="16"/>
    <x v="0"/>
    <s v="A+"/>
    <x v="5"/>
    <s v="Under Treatment"/>
  </r>
  <r>
    <x v="484"/>
    <s v="2025-12-10"/>
    <x v="79"/>
    <x v="1"/>
    <x v="3"/>
    <s v="Dr. Arun"/>
    <x v="1"/>
    <n v="90637.04"/>
    <n v="13"/>
    <x v="0"/>
    <s v="A-"/>
    <x v="1"/>
    <s v="Recovered"/>
  </r>
  <r>
    <x v="485"/>
    <s v="2026-01-01"/>
    <x v="28"/>
    <x v="0"/>
    <x v="1"/>
    <s v="Dr. Priya"/>
    <x v="0"/>
    <n v="84446.94"/>
    <n v="15"/>
    <x v="1"/>
    <s v="O-"/>
    <x v="3"/>
    <s v="Referred"/>
  </r>
  <r>
    <x v="486"/>
    <s v="2025-12-08"/>
    <x v="13"/>
    <x v="1"/>
    <x v="0"/>
    <s v="Dr. Arun"/>
    <x v="4"/>
    <n v="123131.5"/>
    <n v="20"/>
    <x v="1"/>
    <s v="A+"/>
    <x v="4"/>
    <s v="Under Treatment"/>
  </r>
  <r>
    <x v="487"/>
    <s v="2026-04-24"/>
    <x v="6"/>
    <x v="1"/>
    <x v="2"/>
    <s v="Dr. Nisha"/>
    <x v="1"/>
    <n v="96061.74"/>
    <n v="18"/>
    <x v="1"/>
    <s v="O-"/>
    <x v="2"/>
    <s v="Recovered"/>
  </r>
  <r>
    <x v="488"/>
    <s v="2026-01-27"/>
    <x v="83"/>
    <x v="1"/>
    <x v="5"/>
    <s v="Dr. Arun"/>
    <x v="3"/>
    <n v="32360.720000000001"/>
    <n v="20"/>
    <x v="0"/>
    <s v="B-"/>
    <x v="2"/>
    <s v="Recovered"/>
  </r>
  <r>
    <x v="489"/>
    <s v="2025-03-21"/>
    <x v="69"/>
    <x v="0"/>
    <x v="3"/>
    <s v="Dr. Nisha"/>
    <x v="2"/>
    <n v="139527.97"/>
    <n v="12"/>
    <x v="0"/>
    <s v="AB+"/>
    <x v="1"/>
    <s v="Under Treatment"/>
  </r>
  <r>
    <x v="490"/>
    <s v="2026-06-15"/>
    <x v="51"/>
    <x v="0"/>
    <x v="2"/>
    <s v="Dr. Anil"/>
    <x v="5"/>
    <n v="17457.310000000001"/>
    <n v="8"/>
    <x v="1"/>
    <s v="B+"/>
    <x v="2"/>
    <s v="Recovered"/>
  </r>
  <r>
    <x v="491"/>
    <s v="2025-09-22"/>
    <x v="3"/>
    <x v="1"/>
    <x v="2"/>
    <s v="Dr. Priya"/>
    <x v="4"/>
    <n v="98157.26"/>
    <n v="16"/>
    <x v="0"/>
    <s v="A+"/>
    <x v="5"/>
    <s v="Referred"/>
  </r>
  <r>
    <x v="492"/>
    <s v="2025-05-07"/>
    <x v="10"/>
    <x v="0"/>
    <x v="4"/>
    <s v="Dr. Priya"/>
    <x v="5"/>
    <n v="97485.82"/>
    <n v="15"/>
    <x v="0"/>
    <s v="O-"/>
    <x v="5"/>
    <s v="Referred"/>
  </r>
  <r>
    <x v="493"/>
    <s v="2025-12-06"/>
    <x v="36"/>
    <x v="1"/>
    <x v="5"/>
    <s v="Dr. Nisha"/>
    <x v="2"/>
    <n v="107853.21"/>
    <n v="11"/>
    <x v="1"/>
    <s v="B-"/>
    <x v="4"/>
    <s v="Referred"/>
  </r>
  <r>
    <x v="494"/>
    <s v="2025-09-29"/>
    <x v="25"/>
    <x v="1"/>
    <x v="4"/>
    <s v="Dr. Arun"/>
    <x v="3"/>
    <n v="73938.399999999994"/>
    <n v="12"/>
    <x v="0"/>
    <s v="A-"/>
    <x v="3"/>
    <s v="Recovered"/>
  </r>
  <r>
    <x v="495"/>
    <s v="2026-05-04"/>
    <x v="48"/>
    <x v="0"/>
    <x v="1"/>
    <s v="Dr. Priya"/>
    <x v="1"/>
    <n v="50508.32"/>
    <n v="20"/>
    <x v="0"/>
    <s v="B-"/>
    <x v="5"/>
    <s v="Under Treatment"/>
  </r>
  <r>
    <x v="496"/>
    <s v="2025-08-09"/>
    <x v="36"/>
    <x v="1"/>
    <x v="1"/>
    <s v="Dr. Nisha"/>
    <x v="5"/>
    <n v="107280.38"/>
    <n v="13"/>
    <x v="1"/>
    <s v="B-"/>
    <x v="1"/>
    <s v="Referred"/>
  </r>
  <r>
    <x v="497"/>
    <s v="2026-04-30"/>
    <x v="36"/>
    <x v="1"/>
    <x v="1"/>
    <s v="Dr. Rahul"/>
    <x v="5"/>
    <n v="35270.449999999997"/>
    <n v="18"/>
    <x v="1"/>
    <s v="AB-"/>
    <x v="0"/>
    <s v="Recovered"/>
  </r>
  <r>
    <x v="498"/>
    <s v="2025-02-14"/>
    <x v="8"/>
    <x v="1"/>
    <x v="1"/>
    <s v="Dr. Nisha"/>
    <x v="5"/>
    <n v="56972.26"/>
    <n v="10"/>
    <x v="1"/>
    <s v="A+"/>
    <x v="0"/>
    <s v="Under Treatment"/>
  </r>
  <r>
    <x v="499"/>
    <s v="2025-02-27"/>
    <x v="79"/>
    <x v="1"/>
    <x v="5"/>
    <s v="Dr. Arun"/>
    <x v="5"/>
    <n v="129904.98"/>
    <n v="7"/>
    <x v="1"/>
    <s v="B+"/>
    <x v="4"/>
    <s v="Recovered"/>
  </r>
  <r>
    <x v="500"/>
    <s v="2026-04-02"/>
    <x v="49"/>
    <x v="1"/>
    <x v="3"/>
    <s v="Dr. Meera"/>
    <x v="0"/>
    <n v="59994.84"/>
    <n v="6"/>
    <x v="0"/>
    <s v="AB-"/>
    <x v="5"/>
    <s v="Under Treatment"/>
  </r>
  <r>
    <x v="501"/>
    <s v="2025-05-21"/>
    <x v="37"/>
    <x v="0"/>
    <x v="3"/>
    <s v="Dr. Priya"/>
    <x v="1"/>
    <n v="88360"/>
    <n v="6"/>
    <x v="0"/>
    <s v="B-"/>
    <x v="3"/>
    <s v="Referred"/>
  </r>
  <r>
    <x v="502"/>
    <s v="2026-02-26"/>
    <x v="0"/>
    <x v="0"/>
    <x v="3"/>
    <s v="Dr. Rahul"/>
    <x v="3"/>
    <n v="95169.46"/>
    <n v="11"/>
    <x v="1"/>
    <s v="AB-"/>
    <x v="5"/>
    <s v="Under Treatment"/>
  </r>
  <r>
    <x v="503"/>
    <s v="2026-01-11"/>
    <x v="57"/>
    <x v="1"/>
    <x v="5"/>
    <s v="Dr. Meera"/>
    <x v="0"/>
    <n v="82935.61"/>
    <n v="16"/>
    <x v="1"/>
    <s v="B+"/>
    <x v="4"/>
    <s v="Recovered"/>
  </r>
  <r>
    <x v="504"/>
    <s v="2025-10-20"/>
    <x v="57"/>
    <x v="0"/>
    <x v="5"/>
    <s v="Dr. Meera"/>
    <x v="3"/>
    <n v="9841.91"/>
    <n v="13"/>
    <x v="0"/>
    <s v="A+"/>
    <x v="1"/>
    <s v="Under Treatment"/>
  </r>
  <r>
    <x v="505"/>
    <s v="2025-10-28"/>
    <x v="85"/>
    <x v="1"/>
    <x v="4"/>
    <s v="Dr. Anil"/>
    <x v="0"/>
    <n v="51491.17"/>
    <n v="15"/>
    <x v="0"/>
    <s v="B+"/>
    <x v="0"/>
    <s v="Under Treatment"/>
  </r>
  <r>
    <x v="506"/>
    <s v="2026-03-12"/>
    <x v="33"/>
    <x v="1"/>
    <x v="0"/>
    <s v="Dr. Rahul"/>
    <x v="3"/>
    <n v="50121.07"/>
    <n v="11"/>
    <x v="1"/>
    <s v="A-"/>
    <x v="4"/>
    <s v="Recovered"/>
  </r>
  <r>
    <x v="507"/>
    <s v="2025-02-12"/>
    <x v="12"/>
    <x v="1"/>
    <x v="5"/>
    <s v="Dr. Priya"/>
    <x v="0"/>
    <n v="84141.86"/>
    <n v="8"/>
    <x v="0"/>
    <s v="A+"/>
    <x v="0"/>
    <s v="Referred"/>
  </r>
  <r>
    <x v="508"/>
    <s v="2025-01-28"/>
    <x v="49"/>
    <x v="0"/>
    <x v="3"/>
    <s v="Dr. Arun"/>
    <x v="5"/>
    <n v="39744.870000000003"/>
    <n v="5"/>
    <x v="1"/>
    <s v="O-"/>
    <x v="5"/>
    <s v="Referred"/>
  </r>
  <r>
    <x v="509"/>
    <s v="2025-06-20"/>
    <x v="60"/>
    <x v="0"/>
    <x v="4"/>
    <s v="Dr. Nisha"/>
    <x v="0"/>
    <n v="62272.32"/>
    <n v="8"/>
    <x v="1"/>
    <s v="A-"/>
    <x v="0"/>
    <s v="Under Treatment"/>
  </r>
  <r>
    <x v="510"/>
    <s v="2026-03-08"/>
    <x v="9"/>
    <x v="1"/>
    <x v="2"/>
    <s v="Dr. Priya"/>
    <x v="5"/>
    <n v="39751.019999999997"/>
    <n v="8"/>
    <x v="1"/>
    <s v="AB-"/>
    <x v="4"/>
    <s v="Recovered"/>
  </r>
  <r>
    <x v="511"/>
    <s v="2025-05-25"/>
    <x v="41"/>
    <x v="1"/>
    <x v="3"/>
    <s v="Dr. Meera"/>
    <x v="0"/>
    <n v="143482.04"/>
    <n v="9"/>
    <x v="0"/>
    <s v="AB-"/>
    <x v="3"/>
    <s v="Recovered"/>
  </r>
  <r>
    <x v="512"/>
    <s v="2025-08-20"/>
    <x v="67"/>
    <x v="0"/>
    <x v="5"/>
    <s v="Dr. Anil"/>
    <x v="4"/>
    <n v="34738.86"/>
    <n v="3"/>
    <x v="0"/>
    <s v="B-"/>
    <x v="1"/>
    <s v="Under Treatment"/>
  </r>
  <r>
    <x v="513"/>
    <s v="2026-02-23"/>
    <x v="25"/>
    <x v="0"/>
    <x v="5"/>
    <s v="Dr. Meera"/>
    <x v="4"/>
    <n v="64040.2"/>
    <n v="10"/>
    <x v="0"/>
    <s v="B+"/>
    <x v="5"/>
    <s v="Recovered"/>
  </r>
  <r>
    <x v="514"/>
    <s v="2025-04-27"/>
    <x v="83"/>
    <x v="0"/>
    <x v="0"/>
    <s v="Dr. Meera"/>
    <x v="2"/>
    <n v="26727.54"/>
    <n v="6"/>
    <x v="0"/>
    <s v="A+"/>
    <x v="4"/>
    <s v="Recovered"/>
  </r>
  <r>
    <x v="515"/>
    <s v="2026-06-23"/>
    <x v="49"/>
    <x v="1"/>
    <x v="1"/>
    <s v="Dr. Arun"/>
    <x v="2"/>
    <n v="146332.29999999999"/>
    <n v="19"/>
    <x v="0"/>
    <s v="B-"/>
    <x v="3"/>
    <s v="Recovered"/>
  </r>
  <r>
    <x v="516"/>
    <s v="2025-10-27"/>
    <x v="19"/>
    <x v="1"/>
    <x v="0"/>
    <s v="Dr. Rahul"/>
    <x v="2"/>
    <n v="53196.08"/>
    <n v="5"/>
    <x v="0"/>
    <s v="O-"/>
    <x v="5"/>
    <s v="Recovered"/>
  </r>
  <r>
    <x v="517"/>
    <s v="2025-11-28"/>
    <x v="89"/>
    <x v="1"/>
    <x v="5"/>
    <s v="Dr. Anil"/>
    <x v="2"/>
    <n v="107714.91"/>
    <n v="2"/>
    <x v="1"/>
    <s v="O-"/>
    <x v="5"/>
    <s v="Under Treatment"/>
  </r>
  <r>
    <x v="518"/>
    <s v="2025-06-28"/>
    <x v="50"/>
    <x v="0"/>
    <x v="1"/>
    <s v="Dr. Priya"/>
    <x v="3"/>
    <n v="99231.88"/>
    <n v="17"/>
    <x v="0"/>
    <s v="A-"/>
    <x v="2"/>
    <s v="Recovered"/>
  </r>
  <r>
    <x v="519"/>
    <s v="2025-05-16"/>
    <x v="81"/>
    <x v="1"/>
    <x v="5"/>
    <s v="Dr. Nisha"/>
    <x v="0"/>
    <n v="149269.63"/>
    <n v="3"/>
    <x v="1"/>
    <s v="B-"/>
    <x v="5"/>
    <s v="Referred"/>
  </r>
  <r>
    <x v="520"/>
    <s v="2026-02-18"/>
    <x v="61"/>
    <x v="1"/>
    <x v="3"/>
    <s v="Dr. Arun"/>
    <x v="2"/>
    <n v="107471.27"/>
    <n v="16"/>
    <x v="1"/>
    <s v="O+"/>
    <x v="3"/>
    <s v="Recovered"/>
  </r>
  <r>
    <x v="521"/>
    <s v="2025-12-21"/>
    <x v="61"/>
    <x v="0"/>
    <x v="2"/>
    <s v="Dr. Meera"/>
    <x v="0"/>
    <n v="105937.24"/>
    <n v="17"/>
    <x v="0"/>
    <s v="O+"/>
    <x v="0"/>
    <s v="Referred"/>
  </r>
  <r>
    <x v="522"/>
    <s v="2025-10-19"/>
    <x v="38"/>
    <x v="1"/>
    <x v="3"/>
    <s v="Dr. Anil"/>
    <x v="1"/>
    <n v="24721.06"/>
    <n v="9"/>
    <x v="1"/>
    <s v="O-"/>
    <x v="5"/>
    <s v="Recovered"/>
  </r>
  <r>
    <x v="523"/>
    <s v="2026-04-14"/>
    <x v="4"/>
    <x v="0"/>
    <x v="0"/>
    <s v="Dr. Priya"/>
    <x v="1"/>
    <n v="119094.97"/>
    <n v="1"/>
    <x v="0"/>
    <s v="O+"/>
    <x v="1"/>
    <s v="Recovered"/>
  </r>
  <r>
    <x v="524"/>
    <s v="2025-01-10"/>
    <x v="62"/>
    <x v="0"/>
    <x v="3"/>
    <s v="Dr. Rahul"/>
    <x v="1"/>
    <n v="3582.72"/>
    <n v="8"/>
    <x v="1"/>
    <s v="A+"/>
    <x v="5"/>
    <s v="Referred"/>
  </r>
  <r>
    <x v="525"/>
    <s v="2025-12-19"/>
    <x v="37"/>
    <x v="1"/>
    <x v="2"/>
    <s v="Dr. Arun"/>
    <x v="4"/>
    <n v="20579.2"/>
    <n v="8"/>
    <x v="1"/>
    <s v="B+"/>
    <x v="1"/>
    <s v="Under Treatment"/>
  </r>
  <r>
    <x v="526"/>
    <s v="2025-11-08"/>
    <x v="3"/>
    <x v="1"/>
    <x v="5"/>
    <s v="Dr. Rahul"/>
    <x v="2"/>
    <n v="88187.71"/>
    <n v="7"/>
    <x v="1"/>
    <s v="O+"/>
    <x v="1"/>
    <s v="Referred"/>
  </r>
  <r>
    <x v="527"/>
    <s v="2025-07-03"/>
    <x v="63"/>
    <x v="0"/>
    <x v="3"/>
    <s v="Dr. Anil"/>
    <x v="0"/>
    <n v="62705.29"/>
    <n v="12"/>
    <x v="1"/>
    <s v="A+"/>
    <x v="5"/>
    <s v="Recovered"/>
  </r>
  <r>
    <x v="528"/>
    <s v="2025-01-18"/>
    <x v="63"/>
    <x v="0"/>
    <x v="1"/>
    <s v="Dr. Meera"/>
    <x v="3"/>
    <n v="143796.48000000001"/>
    <n v="4"/>
    <x v="0"/>
    <s v="AB-"/>
    <x v="3"/>
    <s v="Under Treatment"/>
  </r>
  <r>
    <x v="529"/>
    <s v="2025-01-19"/>
    <x v="37"/>
    <x v="0"/>
    <x v="5"/>
    <s v="Dr. Anil"/>
    <x v="3"/>
    <n v="41482.21"/>
    <n v="7"/>
    <x v="1"/>
    <s v="O+"/>
    <x v="1"/>
    <s v="Recovered"/>
  </r>
  <r>
    <x v="530"/>
    <s v="2026-03-31"/>
    <x v="35"/>
    <x v="0"/>
    <x v="3"/>
    <s v="Dr. Meera"/>
    <x v="3"/>
    <n v="119995.31"/>
    <n v="19"/>
    <x v="1"/>
    <s v="AB-"/>
    <x v="2"/>
    <s v="Referred"/>
  </r>
  <r>
    <x v="531"/>
    <s v="2025-04-12"/>
    <x v="41"/>
    <x v="1"/>
    <x v="5"/>
    <s v="Dr. Anil"/>
    <x v="5"/>
    <n v="18761.5"/>
    <n v="20"/>
    <x v="0"/>
    <s v="AB-"/>
    <x v="3"/>
    <s v="Under Treatment"/>
  </r>
  <r>
    <x v="532"/>
    <s v="2025-03-11"/>
    <x v="71"/>
    <x v="1"/>
    <x v="5"/>
    <s v="Dr. Nisha"/>
    <x v="5"/>
    <n v="137289.18"/>
    <n v="9"/>
    <x v="1"/>
    <s v="A+"/>
    <x v="2"/>
    <s v="Under Treatment"/>
  </r>
  <r>
    <x v="533"/>
    <s v="2026-05-30"/>
    <x v="67"/>
    <x v="0"/>
    <x v="3"/>
    <s v="Dr. Rahul"/>
    <x v="5"/>
    <n v="116293.69"/>
    <n v="3"/>
    <x v="1"/>
    <s v="AB-"/>
    <x v="3"/>
    <s v="Under Treatment"/>
  </r>
  <r>
    <x v="534"/>
    <s v="2025-08-05"/>
    <x v="75"/>
    <x v="0"/>
    <x v="2"/>
    <s v="Dr. Priya"/>
    <x v="5"/>
    <n v="87127.52"/>
    <n v="9"/>
    <x v="0"/>
    <s v="A-"/>
    <x v="4"/>
    <s v="Under Treatment"/>
  </r>
  <r>
    <x v="535"/>
    <s v="2025-01-15"/>
    <x v="76"/>
    <x v="1"/>
    <x v="3"/>
    <s v="Dr. Priya"/>
    <x v="4"/>
    <n v="103748.28"/>
    <n v="11"/>
    <x v="1"/>
    <s v="B+"/>
    <x v="4"/>
    <s v="Referred"/>
  </r>
  <r>
    <x v="536"/>
    <s v="2025-06-16"/>
    <x v="82"/>
    <x v="0"/>
    <x v="2"/>
    <s v="Dr. Meera"/>
    <x v="3"/>
    <n v="104260.76"/>
    <n v="15"/>
    <x v="1"/>
    <s v="A+"/>
    <x v="0"/>
    <s v="Recovered"/>
  </r>
  <r>
    <x v="537"/>
    <s v="2025-07-11"/>
    <x v="26"/>
    <x v="1"/>
    <x v="5"/>
    <s v="Dr. Arun"/>
    <x v="4"/>
    <n v="36901.75"/>
    <n v="8"/>
    <x v="0"/>
    <s v="O-"/>
    <x v="1"/>
    <s v="Referred"/>
  </r>
  <r>
    <x v="538"/>
    <s v="2026-03-17"/>
    <x v="40"/>
    <x v="1"/>
    <x v="1"/>
    <s v="Dr. Priya"/>
    <x v="2"/>
    <n v="28303.49"/>
    <n v="20"/>
    <x v="0"/>
    <s v="O+"/>
    <x v="5"/>
    <s v="Recovered"/>
  </r>
  <r>
    <x v="539"/>
    <s v="2025-03-21"/>
    <x v="49"/>
    <x v="1"/>
    <x v="3"/>
    <s v="Dr. Arun"/>
    <x v="0"/>
    <n v="87944.82"/>
    <n v="18"/>
    <x v="1"/>
    <s v="B+"/>
    <x v="3"/>
    <s v="Under Treatment"/>
  </r>
  <r>
    <x v="540"/>
    <s v="2026-04-15"/>
    <x v="46"/>
    <x v="1"/>
    <x v="4"/>
    <s v="Dr. Meera"/>
    <x v="3"/>
    <n v="34220.720000000001"/>
    <n v="18"/>
    <x v="0"/>
    <s v="AB-"/>
    <x v="3"/>
    <s v="Under Treatment"/>
  </r>
  <r>
    <x v="541"/>
    <s v="2025-08-06"/>
    <x v="56"/>
    <x v="1"/>
    <x v="5"/>
    <s v="Dr. Nisha"/>
    <x v="3"/>
    <n v="14527.72"/>
    <n v="4"/>
    <x v="1"/>
    <s v="AB+"/>
    <x v="2"/>
    <s v="Under Treatment"/>
  </r>
  <r>
    <x v="542"/>
    <s v="2025-12-27"/>
    <x v="21"/>
    <x v="0"/>
    <x v="4"/>
    <s v="Dr. Nisha"/>
    <x v="1"/>
    <n v="132755.66"/>
    <n v="7"/>
    <x v="0"/>
    <s v="B+"/>
    <x v="2"/>
    <s v="Referred"/>
  </r>
  <r>
    <x v="543"/>
    <s v="2025-01-10"/>
    <x v="30"/>
    <x v="0"/>
    <x v="3"/>
    <s v="Dr. Rahul"/>
    <x v="4"/>
    <n v="110103.15"/>
    <n v="16"/>
    <x v="1"/>
    <s v="AB+"/>
    <x v="2"/>
    <s v="Under Treatment"/>
  </r>
  <r>
    <x v="544"/>
    <s v="2025-04-26"/>
    <x v="87"/>
    <x v="0"/>
    <x v="3"/>
    <s v="Dr. Nisha"/>
    <x v="4"/>
    <n v="7641.05"/>
    <n v="10"/>
    <x v="1"/>
    <s v="B-"/>
    <x v="1"/>
    <s v="Under Treatment"/>
  </r>
  <r>
    <x v="545"/>
    <s v="2026-04-28"/>
    <x v="3"/>
    <x v="0"/>
    <x v="3"/>
    <s v="Dr. Arun"/>
    <x v="2"/>
    <n v="113983.15"/>
    <n v="9"/>
    <x v="1"/>
    <s v="O-"/>
    <x v="2"/>
    <s v="Under Treatment"/>
  </r>
  <r>
    <x v="546"/>
    <s v="2025-04-08"/>
    <x v="69"/>
    <x v="1"/>
    <x v="4"/>
    <s v="Dr. Anil"/>
    <x v="3"/>
    <n v="101089.41"/>
    <n v="19"/>
    <x v="0"/>
    <s v="AB+"/>
    <x v="0"/>
    <s v="Under Treatment"/>
  </r>
  <r>
    <x v="547"/>
    <s v="2025-09-01"/>
    <x v="11"/>
    <x v="1"/>
    <x v="2"/>
    <s v="Dr. Nisha"/>
    <x v="5"/>
    <n v="116073.32"/>
    <n v="14"/>
    <x v="0"/>
    <s v="AB+"/>
    <x v="5"/>
    <s v="Under Treatment"/>
  </r>
  <r>
    <x v="548"/>
    <s v="2026-04-24"/>
    <x v="78"/>
    <x v="1"/>
    <x v="5"/>
    <s v="Dr. Arun"/>
    <x v="4"/>
    <n v="138887.21"/>
    <n v="3"/>
    <x v="0"/>
    <s v="AB+"/>
    <x v="0"/>
    <s v="Under Treatment"/>
  </r>
  <r>
    <x v="549"/>
    <s v="2025-08-21"/>
    <x v="73"/>
    <x v="0"/>
    <x v="1"/>
    <s v="Dr. Arun"/>
    <x v="1"/>
    <n v="103839.37"/>
    <n v="17"/>
    <x v="1"/>
    <s v="AB+"/>
    <x v="2"/>
    <s v="Recovered"/>
  </r>
  <r>
    <x v="550"/>
    <s v="2026-05-26"/>
    <x v="7"/>
    <x v="1"/>
    <x v="2"/>
    <s v="Dr. Rahul"/>
    <x v="5"/>
    <n v="103759.73"/>
    <n v="18"/>
    <x v="1"/>
    <s v="O-"/>
    <x v="2"/>
    <s v="Recovered"/>
  </r>
  <r>
    <x v="551"/>
    <s v="2025-10-20"/>
    <x v="88"/>
    <x v="1"/>
    <x v="0"/>
    <s v="Dr. Rahul"/>
    <x v="4"/>
    <n v="26608.639999999999"/>
    <n v="14"/>
    <x v="1"/>
    <s v="AB-"/>
    <x v="4"/>
    <s v="Recovered"/>
  </r>
  <r>
    <x v="552"/>
    <s v="2025-08-04"/>
    <x v="46"/>
    <x v="0"/>
    <x v="1"/>
    <s v="Dr. Anil"/>
    <x v="5"/>
    <n v="18171.21"/>
    <n v="3"/>
    <x v="0"/>
    <s v="O+"/>
    <x v="4"/>
    <s v="Under Treatment"/>
  </r>
  <r>
    <x v="553"/>
    <s v="2025-05-16"/>
    <x v="69"/>
    <x v="0"/>
    <x v="1"/>
    <s v="Dr. Nisha"/>
    <x v="1"/>
    <n v="116995.69"/>
    <n v="6"/>
    <x v="1"/>
    <s v="B-"/>
    <x v="0"/>
    <s v="Recovered"/>
  </r>
  <r>
    <x v="554"/>
    <s v="2026-02-06"/>
    <x v="32"/>
    <x v="0"/>
    <x v="3"/>
    <s v="Dr. Anil"/>
    <x v="3"/>
    <n v="120509.17"/>
    <n v="1"/>
    <x v="1"/>
    <s v="O-"/>
    <x v="1"/>
    <s v="Recovered"/>
  </r>
  <r>
    <x v="555"/>
    <s v="2025-10-10"/>
    <x v="70"/>
    <x v="0"/>
    <x v="0"/>
    <s v="Dr. Meera"/>
    <x v="1"/>
    <n v="132248.76999999999"/>
    <n v="2"/>
    <x v="0"/>
    <s v="AB+"/>
    <x v="0"/>
    <s v="Under Treatment"/>
  </r>
  <r>
    <x v="556"/>
    <s v="2025-10-30"/>
    <x v="50"/>
    <x v="0"/>
    <x v="3"/>
    <s v="Dr. Anil"/>
    <x v="5"/>
    <n v="52174.74"/>
    <n v="15"/>
    <x v="1"/>
    <s v="B+"/>
    <x v="5"/>
    <s v="Recovered"/>
  </r>
  <r>
    <x v="557"/>
    <s v="2026-06-10"/>
    <x v="64"/>
    <x v="0"/>
    <x v="4"/>
    <s v="Dr. Meera"/>
    <x v="5"/>
    <n v="29874.9"/>
    <n v="20"/>
    <x v="1"/>
    <s v="AB+"/>
    <x v="0"/>
    <s v="Referred"/>
  </r>
  <r>
    <x v="558"/>
    <s v="2025-08-05"/>
    <x v="63"/>
    <x v="1"/>
    <x v="3"/>
    <s v="Dr. Rahul"/>
    <x v="2"/>
    <n v="143559.43"/>
    <n v="20"/>
    <x v="1"/>
    <s v="AB-"/>
    <x v="0"/>
    <s v="Under Treatment"/>
  </r>
  <r>
    <x v="559"/>
    <s v="2025-02-07"/>
    <x v="43"/>
    <x v="0"/>
    <x v="4"/>
    <s v="Dr. Meera"/>
    <x v="5"/>
    <n v="23434.95"/>
    <n v="4"/>
    <x v="0"/>
    <s v="A-"/>
    <x v="4"/>
    <s v="Referred"/>
  </r>
  <r>
    <x v="560"/>
    <s v="2025-01-10"/>
    <x v="87"/>
    <x v="0"/>
    <x v="1"/>
    <s v="Dr. Priya"/>
    <x v="2"/>
    <n v="31264.25"/>
    <n v="2"/>
    <x v="1"/>
    <s v="AB-"/>
    <x v="4"/>
    <s v="Recovered"/>
  </r>
  <r>
    <x v="561"/>
    <s v="2025-08-05"/>
    <x v="89"/>
    <x v="1"/>
    <x v="5"/>
    <s v="Dr. Meera"/>
    <x v="3"/>
    <n v="50946.96"/>
    <n v="7"/>
    <x v="0"/>
    <s v="B-"/>
    <x v="3"/>
    <s v="Under Treatment"/>
  </r>
  <r>
    <x v="562"/>
    <s v="2025-01-31"/>
    <x v="61"/>
    <x v="1"/>
    <x v="2"/>
    <s v="Dr. Nisha"/>
    <x v="1"/>
    <n v="17305.18"/>
    <n v="15"/>
    <x v="0"/>
    <s v="O-"/>
    <x v="2"/>
    <s v="Referred"/>
  </r>
  <r>
    <x v="563"/>
    <s v="2026-02-18"/>
    <x v="78"/>
    <x v="0"/>
    <x v="1"/>
    <s v="Dr. Arun"/>
    <x v="0"/>
    <n v="99282.12"/>
    <n v="9"/>
    <x v="1"/>
    <s v="A-"/>
    <x v="2"/>
    <s v="Recovered"/>
  </r>
  <r>
    <x v="564"/>
    <s v="2025-03-29"/>
    <x v="57"/>
    <x v="1"/>
    <x v="5"/>
    <s v="Dr. Arun"/>
    <x v="0"/>
    <n v="126732.82"/>
    <n v="20"/>
    <x v="1"/>
    <s v="A+"/>
    <x v="5"/>
    <s v="Referred"/>
  </r>
  <r>
    <x v="565"/>
    <s v="2025-08-19"/>
    <x v="31"/>
    <x v="0"/>
    <x v="1"/>
    <s v="Dr. Priya"/>
    <x v="4"/>
    <n v="136513.01999999999"/>
    <n v="7"/>
    <x v="0"/>
    <s v="B-"/>
    <x v="5"/>
    <s v="Recovered"/>
  </r>
  <r>
    <x v="566"/>
    <s v="2026-06-07"/>
    <x v="68"/>
    <x v="0"/>
    <x v="4"/>
    <s v="Dr. Anil"/>
    <x v="2"/>
    <n v="109529.9"/>
    <n v="15"/>
    <x v="1"/>
    <s v="A-"/>
    <x v="3"/>
    <s v="Recovered"/>
  </r>
  <r>
    <x v="567"/>
    <s v="2026-04-15"/>
    <x v="65"/>
    <x v="0"/>
    <x v="0"/>
    <s v="Dr. Meera"/>
    <x v="2"/>
    <n v="114193.78"/>
    <n v="20"/>
    <x v="1"/>
    <s v="O+"/>
    <x v="3"/>
    <s v="Recovered"/>
  </r>
  <r>
    <x v="568"/>
    <s v="2025-04-01"/>
    <x v="39"/>
    <x v="1"/>
    <x v="1"/>
    <s v="Dr. Anil"/>
    <x v="2"/>
    <n v="25939.42"/>
    <n v="8"/>
    <x v="1"/>
    <s v="AB+"/>
    <x v="2"/>
    <s v="Referred"/>
  </r>
  <r>
    <x v="569"/>
    <s v="2025-01-12"/>
    <x v="80"/>
    <x v="1"/>
    <x v="2"/>
    <s v="Dr. Priya"/>
    <x v="1"/>
    <n v="123442.77"/>
    <n v="15"/>
    <x v="0"/>
    <s v="B-"/>
    <x v="2"/>
    <s v="Referred"/>
  </r>
  <r>
    <x v="570"/>
    <s v="2026-05-08"/>
    <x v="44"/>
    <x v="1"/>
    <x v="2"/>
    <s v="Dr. Rahul"/>
    <x v="0"/>
    <n v="146082.45000000001"/>
    <n v="17"/>
    <x v="0"/>
    <s v="A-"/>
    <x v="4"/>
    <s v="Recovered"/>
  </r>
  <r>
    <x v="571"/>
    <s v="2026-02-10"/>
    <x v="3"/>
    <x v="1"/>
    <x v="3"/>
    <s v="Dr. Rahul"/>
    <x v="3"/>
    <n v="118242.65"/>
    <n v="12"/>
    <x v="0"/>
    <s v="AB+"/>
    <x v="5"/>
    <s v="Recovered"/>
  </r>
  <r>
    <x v="572"/>
    <s v="2025-09-04"/>
    <x v="13"/>
    <x v="1"/>
    <x v="3"/>
    <s v="Dr. Nisha"/>
    <x v="2"/>
    <n v="142050.69"/>
    <n v="7"/>
    <x v="0"/>
    <s v="O+"/>
    <x v="5"/>
    <s v="Referred"/>
  </r>
  <r>
    <x v="573"/>
    <s v="2025-01-18"/>
    <x v="56"/>
    <x v="0"/>
    <x v="4"/>
    <s v="Dr. Priya"/>
    <x v="5"/>
    <n v="23178.07"/>
    <n v="2"/>
    <x v="0"/>
    <s v="AB+"/>
    <x v="4"/>
    <s v="Referred"/>
  </r>
  <r>
    <x v="574"/>
    <s v="2025-10-05"/>
    <x v="38"/>
    <x v="0"/>
    <x v="0"/>
    <s v="Dr. Meera"/>
    <x v="1"/>
    <n v="83473.25"/>
    <n v="11"/>
    <x v="1"/>
    <s v="B+"/>
    <x v="1"/>
    <s v="Under Treatment"/>
  </r>
  <r>
    <x v="575"/>
    <s v="2026-03-30"/>
    <x v="69"/>
    <x v="0"/>
    <x v="5"/>
    <s v="Dr. Nisha"/>
    <x v="0"/>
    <n v="120211.14"/>
    <n v="12"/>
    <x v="1"/>
    <s v="A+"/>
    <x v="2"/>
    <s v="Under Treatment"/>
  </r>
  <r>
    <x v="576"/>
    <s v="2025-01-10"/>
    <x v="32"/>
    <x v="1"/>
    <x v="4"/>
    <s v="Dr. Rahul"/>
    <x v="3"/>
    <n v="126419.41"/>
    <n v="19"/>
    <x v="0"/>
    <s v="A+"/>
    <x v="2"/>
    <s v="Under Treatment"/>
  </r>
  <r>
    <x v="577"/>
    <s v="2026-05-27"/>
    <x v="37"/>
    <x v="1"/>
    <x v="1"/>
    <s v="Dr. Arun"/>
    <x v="4"/>
    <n v="137188.82999999999"/>
    <n v="16"/>
    <x v="1"/>
    <s v="O-"/>
    <x v="5"/>
    <s v="Under Treatment"/>
  </r>
  <r>
    <x v="578"/>
    <s v="2026-04-14"/>
    <x v="28"/>
    <x v="1"/>
    <x v="0"/>
    <s v="Dr. Anil"/>
    <x v="2"/>
    <n v="12888.57"/>
    <n v="14"/>
    <x v="1"/>
    <s v="O-"/>
    <x v="5"/>
    <s v="Referred"/>
  </r>
  <r>
    <x v="579"/>
    <s v="2026-03-16"/>
    <x v="75"/>
    <x v="0"/>
    <x v="4"/>
    <s v="Dr. Anil"/>
    <x v="4"/>
    <n v="4053.55"/>
    <n v="15"/>
    <x v="1"/>
    <s v="O+"/>
    <x v="2"/>
    <s v="Referred"/>
  </r>
  <r>
    <x v="580"/>
    <s v="2025-04-09"/>
    <x v="30"/>
    <x v="1"/>
    <x v="5"/>
    <s v="Dr. Priya"/>
    <x v="3"/>
    <n v="122671.05"/>
    <n v="2"/>
    <x v="0"/>
    <s v="O-"/>
    <x v="1"/>
    <s v="Recovered"/>
  </r>
  <r>
    <x v="581"/>
    <s v="2025-02-04"/>
    <x v="78"/>
    <x v="0"/>
    <x v="3"/>
    <s v="Dr. Priya"/>
    <x v="5"/>
    <n v="112166.55"/>
    <n v="4"/>
    <x v="1"/>
    <s v="O-"/>
    <x v="3"/>
    <s v="Under Treatment"/>
  </r>
  <r>
    <x v="582"/>
    <s v="2025-05-23"/>
    <x v="34"/>
    <x v="0"/>
    <x v="2"/>
    <s v="Dr. Arun"/>
    <x v="3"/>
    <n v="109951.58"/>
    <n v="12"/>
    <x v="0"/>
    <s v="B-"/>
    <x v="5"/>
    <s v="Referred"/>
  </r>
  <r>
    <x v="583"/>
    <s v="2025-01-16"/>
    <x v="35"/>
    <x v="0"/>
    <x v="1"/>
    <s v="Dr. Nisha"/>
    <x v="2"/>
    <n v="28101.4"/>
    <n v="5"/>
    <x v="1"/>
    <s v="O-"/>
    <x v="3"/>
    <s v="Under Treatment"/>
  </r>
  <r>
    <x v="584"/>
    <s v="2025-11-06"/>
    <x v="59"/>
    <x v="0"/>
    <x v="2"/>
    <s v="Dr. Rahul"/>
    <x v="3"/>
    <n v="35486.53"/>
    <n v="17"/>
    <x v="1"/>
    <s v="A+"/>
    <x v="1"/>
    <s v="Referred"/>
  </r>
  <r>
    <x v="585"/>
    <s v="2025-02-20"/>
    <x v="84"/>
    <x v="0"/>
    <x v="0"/>
    <s v="Dr. Arun"/>
    <x v="3"/>
    <n v="115781.48"/>
    <n v="4"/>
    <x v="0"/>
    <s v="AB-"/>
    <x v="1"/>
    <s v="Under Treatment"/>
  </r>
  <r>
    <x v="586"/>
    <s v="2026-02-19"/>
    <x v="17"/>
    <x v="1"/>
    <x v="4"/>
    <s v="Dr. Rahul"/>
    <x v="1"/>
    <n v="3895.17"/>
    <n v="17"/>
    <x v="1"/>
    <s v="B-"/>
    <x v="2"/>
    <s v="Recovered"/>
  </r>
  <r>
    <x v="587"/>
    <s v="2026-03-04"/>
    <x v="88"/>
    <x v="0"/>
    <x v="0"/>
    <s v="Dr. Priya"/>
    <x v="2"/>
    <n v="69924.600000000006"/>
    <n v="14"/>
    <x v="1"/>
    <s v="O+"/>
    <x v="3"/>
    <s v="Recovered"/>
  </r>
  <r>
    <x v="588"/>
    <s v="2025-12-01"/>
    <x v="73"/>
    <x v="1"/>
    <x v="1"/>
    <s v="Dr. Arun"/>
    <x v="4"/>
    <n v="3363.41"/>
    <n v="15"/>
    <x v="0"/>
    <s v="AB-"/>
    <x v="1"/>
    <s v="Referred"/>
  </r>
  <r>
    <x v="589"/>
    <s v="2026-03-02"/>
    <x v="70"/>
    <x v="0"/>
    <x v="3"/>
    <s v="Dr. Arun"/>
    <x v="0"/>
    <n v="39161.879999999997"/>
    <n v="16"/>
    <x v="0"/>
    <s v="A+"/>
    <x v="1"/>
    <s v="Recovered"/>
  </r>
  <r>
    <x v="590"/>
    <s v="2026-02-25"/>
    <x v="76"/>
    <x v="0"/>
    <x v="2"/>
    <s v="Dr. Meera"/>
    <x v="5"/>
    <n v="83370.84"/>
    <n v="8"/>
    <x v="1"/>
    <s v="B+"/>
    <x v="5"/>
    <s v="Referred"/>
  </r>
  <r>
    <x v="591"/>
    <s v="2025-07-31"/>
    <x v="51"/>
    <x v="0"/>
    <x v="1"/>
    <s v="Dr. Priya"/>
    <x v="0"/>
    <n v="81405.69"/>
    <n v="4"/>
    <x v="0"/>
    <s v="B+"/>
    <x v="0"/>
    <s v="Under Treatment"/>
  </r>
  <r>
    <x v="592"/>
    <s v="2026-06-25"/>
    <x v="67"/>
    <x v="0"/>
    <x v="3"/>
    <s v="Dr. Nisha"/>
    <x v="0"/>
    <n v="21520.03"/>
    <n v="8"/>
    <x v="1"/>
    <s v="O-"/>
    <x v="1"/>
    <s v="Recovered"/>
  </r>
  <r>
    <x v="593"/>
    <s v="2026-02-04"/>
    <x v="39"/>
    <x v="0"/>
    <x v="3"/>
    <s v="Dr. Nisha"/>
    <x v="5"/>
    <n v="28517.54"/>
    <n v="8"/>
    <x v="1"/>
    <s v="AB-"/>
    <x v="1"/>
    <s v="Referred"/>
  </r>
  <r>
    <x v="594"/>
    <s v="2025-12-02"/>
    <x v="20"/>
    <x v="1"/>
    <x v="2"/>
    <s v="Dr. Arun"/>
    <x v="1"/>
    <n v="51743.88"/>
    <n v="11"/>
    <x v="1"/>
    <s v="AB+"/>
    <x v="2"/>
    <s v="Referred"/>
  </r>
  <r>
    <x v="595"/>
    <s v="2026-02-22"/>
    <x v="23"/>
    <x v="1"/>
    <x v="0"/>
    <s v="Dr. Nisha"/>
    <x v="2"/>
    <n v="126948.33"/>
    <n v="20"/>
    <x v="1"/>
    <s v="A-"/>
    <x v="4"/>
    <s v="Recovered"/>
  </r>
  <r>
    <x v="596"/>
    <s v="2025-04-20"/>
    <x v="0"/>
    <x v="0"/>
    <x v="0"/>
    <s v="Dr. Nisha"/>
    <x v="1"/>
    <n v="49345.22"/>
    <n v="5"/>
    <x v="0"/>
    <s v="B-"/>
    <x v="1"/>
    <s v="Referred"/>
  </r>
  <r>
    <x v="597"/>
    <s v="2025-01-27"/>
    <x v="74"/>
    <x v="1"/>
    <x v="4"/>
    <s v="Dr. Anil"/>
    <x v="2"/>
    <n v="94289.41"/>
    <n v="2"/>
    <x v="0"/>
    <s v="AB-"/>
    <x v="4"/>
    <s v="Under Treatment"/>
  </r>
  <r>
    <x v="598"/>
    <s v="2026-01-28"/>
    <x v="8"/>
    <x v="0"/>
    <x v="3"/>
    <s v="Dr. Rahul"/>
    <x v="5"/>
    <n v="78155.67"/>
    <n v="18"/>
    <x v="1"/>
    <s v="O-"/>
    <x v="2"/>
    <s v="Referred"/>
  </r>
  <r>
    <x v="599"/>
    <s v="2025-02-17"/>
    <x v="19"/>
    <x v="1"/>
    <x v="5"/>
    <s v="Dr. Arun"/>
    <x v="3"/>
    <n v="14402.33"/>
    <n v="13"/>
    <x v="0"/>
    <s v="O+"/>
    <x v="0"/>
    <s v="Recovered"/>
  </r>
  <r>
    <x v="600"/>
    <s v="2025-06-04"/>
    <x v="23"/>
    <x v="1"/>
    <x v="3"/>
    <s v="Dr. Rahul"/>
    <x v="5"/>
    <n v="99856.34"/>
    <n v="19"/>
    <x v="1"/>
    <s v="O+"/>
    <x v="1"/>
    <s v="Referred"/>
  </r>
  <r>
    <x v="601"/>
    <s v="2026-06-13"/>
    <x v="46"/>
    <x v="1"/>
    <x v="3"/>
    <s v="Dr. Priya"/>
    <x v="4"/>
    <n v="83598.03"/>
    <n v="8"/>
    <x v="1"/>
    <s v="O-"/>
    <x v="5"/>
    <s v="Referred"/>
  </r>
  <r>
    <x v="602"/>
    <s v="2026-05-23"/>
    <x v="51"/>
    <x v="1"/>
    <x v="3"/>
    <s v="Dr. Arun"/>
    <x v="1"/>
    <n v="56073.73"/>
    <n v="12"/>
    <x v="1"/>
    <s v="A+"/>
    <x v="2"/>
    <s v="Recovered"/>
  </r>
  <r>
    <x v="603"/>
    <s v="2025-04-02"/>
    <x v="40"/>
    <x v="1"/>
    <x v="2"/>
    <s v="Dr. Anil"/>
    <x v="2"/>
    <n v="67571.100000000006"/>
    <n v="9"/>
    <x v="1"/>
    <s v="A+"/>
    <x v="2"/>
    <s v="Under Treatment"/>
  </r>
  <r>
    <x v="604"/>
    <s v="2025-09-23"/>
    <x v="66"/>
    <x v="1"/>
    <x v="1"/>
    <s v="Dr. Rahul"/>
    <x v="5"/>
    <n v="33926.74"/>
    <n v="6"/>
    <x v="0"/>
    <s v="B-"/>
    <x v="5"/>
    <s v="Under Treatment"/>
  </r>
  <r>
    <x v="605"/>
    <s v="2025-03-01"/>
    <x v="80"/>
    <x v="0"/>
    <x v="4"/>
    <s v="Dr. Arun"/>
    <x v="5"/>
    <n v="2061.5"/>
    <n v="1"/>
    <x v="1"/>
    <s v="B-"/>
    <x v="0"/>
    <s v="Referred"/>
  </r>
  <r>
    <x v="606"/>
    <s v="2026-05-07"/>
    <x v="34"/>
    <x v="0"/>
    <x v="4"/>
    <s v="Dr. Arun"/>
    <x v="4"/>
    <n v="3121.75"/>
    <n v="15"/>
    <x v="0"/>
    <s v="A-"/>
    <x v="3"/>
    <s v="Under Treatment"/>
  </r>
  <r>
    <x v="607"/>
    <s v="2025-11-04"/>
    <x v="41"/>
    <x v="0"/>
    <x v="0"/>
    <s v="Dr. Arun"/>
    <x v="4"/>
    <n v="146649.01"/>
    <n v="6"/>
    <x v="1"/>
    <s v="O+"/>
    <x v="1"/>
    <s v="Under Treatment"/>
  </r>
  <r>
    <x v="608"/>
    <s v="2026-02-19"/>
    <x v="52"/>
    <x v="0"/>
    <x v="2"/>
    <s v="Dr. Priya"/>
    <x v="1"/>
    <n v="63364.62"/>
    <n v="7"/>
    <x v="1"/>
    <s v="A+"/>
    <x v="3"/>
    <s v="Recovered"/>
  </r>
  <r>
    <x v="609"/>
    <s v="2025-11-15"/>
    <x v="40"/>
    <x v="0"/>
    <x v="4"/>
    <s v="Dr. Nisha"/>
    <x v="2"/>
    <n v="6964.94"/>
    <n v="15"/>
    <x v="0"/>
    <s v="A-"/>
    <x v="5"/>
    <s v="Under Treatment"/>
  </r>
  <r>
    <x v="610"/>
    <s v="2025-02-23"/>
    <x v="46"/>
    <x v="0"/>
    <x v="1"/>
    <s v="Dr. Nisha"/>
    <x v="1"/>
    <n v="79537.45"/>
    <n v="13"/>
    <x v="1"/>
    <s v="O+"/>
    <x v="4"/>
    <s v="Recovered"/>
  </r>
  <r>
    <x v="611"/>
    <s v="2025-11-11"/>
    <x v="12"/>
    <x v="0"/>
    <x v="0"/>
    <s v="Dr. Anil"/>
    <x v="1"/>
    <n v="42714.64"/>
    <n v="14"/>
    <x v="1"/>
    <s v="A+"/>
    <x v="2"/>
    <s v="Under Treatment"/>
  </r>
  <r>
    <x v="612"/>
    <s v="2025-02-14"/>
    <x v="64"/>
    <x v="0"/>
    <x v="1"/>
    <s v="Dr. Meera"/>
    <x v="3"/>
    <n v="8308.0400000000009"/>
    <n v="11"/>
    <x v="0"/>
    <s v="AB+"/>
    <x v="0"/>
    <s v="Recovered"/>
  </r>
  <r>
    <x v="613"/>
    <s v="2025-04-04"/>
    <x v="35"/>
    <x v="0"/>
    <x v="4"/>
    <s v="Dr. Anil"/>
    <x v="4"/>
    <n v="26441.66"/>
    <n v="10"/>
    <x v="1"/>
    <s v="AB-"/>
    <x v="5"/>
    <s v="Under Treatment"/>
  </r>
  <r>
    <x v="614"/>
    <s v="2025-07-20"/>
    <x v="34"/>
    <x v="0"/>
    <x v="0"/>
    <s v="Dr. Priya"/>
    <x v="4"/>
    <n v="112354.12"/>
    <n v="7"/>
    <x v="0"/>
    <s v="A+"/>
    <x v="1"/>
    <s v="Recovered"/>
  </r>
  <r>
    <x v="615"/>
    <s v="2026-01-19"/>
    <x v="10"/>
    <x v="1"/>
    <x v="4"/>
    <s v="Dr. Anil"/>
    <x v="3"/>
    <n v="110957.37"/>
    <n v="13"/>
    <x v="0"/>
    <s v="O+"/>
    <x v="5"/>
    <s v="Under Treatment"/>
  </r>
  <r>
    <x v="616"/>
    <s v="2025-02-20"/>
    <x v="20"/>
    <x v="1"/>
    <x v="1"/>
    <s v="Dr. Meera"/>
    <x v="3"/>
    <n v="109111.2"/>
    <n v="18"/>
    <x v="0"/>
    <s v="AB-"/>
    <x v="1"/>
    <s v="Recovered"/>
  </r>
  <r>
    <x v="617"/>
    <s v="2026-03-15"/>
    <x v="37"/>
    <x v="1"/>
    <x v="2"/>
    <s v="Dr. Arun"/>
    <x v="0"/>
    <n v="18358.18"/>
    <n v="16"/>
    <x v="0"/>
    <s v="AB+"/>
    <x v="1"/>
    <s v="Under Treatment"/>
  </r>
  <r>
    <x v="618"/>
    <s v="2025-03-02"/>
    <x v="66"/>
    <x v="0"/>
    <x v="2"/>
    <s v="Dr. Nisha"/>
    <x v="2"/>
    <n v="10931.93"/>
    <n v="2"/>
    <x v="1"/>
    <s v="A-"/>
    <x v="1"/>
    <s v="Under Treatment"/>
  </r>
  <r>
    <x v="619"/>
    <s v="2026-05-26"/>
    <x v="46"/>
    <x v="1"/>
    <x v="0"/>
    <s v="Dr. Nisha"/>
    <x v="0"/>
    <n v="43288.75"/>
    <n v="6"/>
    <x v="0"/>
    <s v="AB-"/>
    <x v="3"/>
    <s v="Referred"/>
  </r>
  <r>
    <x v="620"/>
    <s v="2025-01-24"/>
    <x v="57"/>
    <x v="1"/>
    <x v="5"/>
    <s v="Dr. Priya"/>
    <x v="4"/>
    <n v="129852.2"/>
    <n v="11"/>
    <x v="0"/>
    <s v="B+"/>
    <x v="5"/>
    <s v="Recovered"/>
  </r>
  <r>
    <x v="621"/>
    <s v="2025-03-07"/>
    <x v="27"/>
    <x v="1"/>
    <x v="5"/>
    <s v="Dr. Rahul"/>
    <x v="2"/>
    <n v="127830.05"/>
    <n v="4"/>
    <x v="0"/>
    <s v="AB+"/>
    <x v="2"/>
    <s v="Under Treatment"/>
  </r>
  <r>
    <x v="622"/>
    <s v="2025-06-15"/>
    <x v="4"/>
    <x v="1"/>
    <x v="1"/>
    <s v="Dr. Priya"/>
    <x v="0"/>
    <n v="69987.960000000006"/>
    <n v="10"/>
    <x v="1"/>
    <s v="AB-"/>
    <x v="2"/>
    <s v="Recovered"/>
  </r>
  <r>
    <x v="623"/>
    <s v="2025-02-18"/>
    <x v="48"/>
    <x v="0"/>
    <x v="0"/>
    <s v="Dr. Rahul"/>
    <x v="0"/>
    <n v="22521.39"/>
    <n v="4"/>
    <x v="1"/>
    <s v="B-"/>
    <x v="5"/>
    <s v="Referred"/>
  </r>
  <r>
    <x v="624"/>
    <s v="2025-07-03"/>
    <x v="82"/>
    <x v="1"/>
    <x v="0"/>
    <s v="Dr. Anil"/>
    <x v="2"/>
    <n v="91390.05"/>
    <n v="12"/>
    <x v="0"/>
    <s v="A-"/>
    <x v="1"/>
    <s v="Recovered"/>
  </r>
  <r>
    <x v="625"/>
    <s v="2026-05-23"/>
    <x v="28"/>
    <x v="1"/>
    <x v="4"/>
    <s v="Dr. Rahul"/>
    <x v="0"/>
    <n v="149128.29"/>
    <n v="16"/>
    <x v="1"/>
    <s v="B+"/>
    <x v="4"/>
    <s v="Under Treatment"/>
  </r>
  <r>
    <x v="626"/>
    <s v="2026-06-19"/>
    <x v="41"/>
    <x v="0"/>
    <x v="5"/>
    <s v="Dr. Priya"/>
    <x v="3"/>
    <n v="33758.089999999997"/>
    <n v="12"/>
    <x v="0"/>
    <s v="A-"/>
    <x v="3"/>
    <s v="Recovered"/>
  </r>
  <r>
    <x v="627"/>
    <s v="2026-03-06"/>
    <x v="89"/>
    <x v="0"/>
    <x v="0"/>
    <s v="Dr. Priya"/>
    <x v="4"/>
    <n v="16923.349999999999"/>
    <n v="16"/>
    <x v="0"/>
    <s v="B-"/>
    <x v="5"/>
    <s v="Under Treatment"/>
  </r>
  <r>
    <x v="628"/>
    <s v="2025-08-30"/>
    <x v="72"/>
    <x v="1"/>
    <x v="2"/>
    <s v="Dr. Anil"/>
    <x v="0"/>
    <n v="134134.88"/>
    <n v="11"/>
    <x v="1"/>
    <s v="A+"/>
    <x v="5"/>
    <s v="Referred"/>
  </r>
  <r>
    <x v="629"/>
    <s v="2026-02-06"/>
    <x v="19"/>
    <x v="1"/>
    <x v="5"/>
    <s v="Dr. Anil"/>
    <x v="1"/>
    <n v="22822.59"/>
    <n v="15"/>
    <x v="1"/>
    <s v="B-"/>
    <x v="1"/>
    <s v="Recovered"/>
  </r>
  <r>
    <x v="630"/>
    <s v="2025-02-28"/>
    <x v="36"/>
    <x v="0"/>
    <x v="0"/>
    <s v="Dr. Nisha"/>
    <x v="4"/>
    <n v="106110.91"/>
    <n v="13"/>
    <x v="0"/>
    <s v="B+"/>
    <x v="2"/>
    <s v="Under Treatment"/>
  </r>
  <r>
    <x v="631"/>
    <s v="2026-06-25"/>
    <x v="40"/>
    <x v="0"/>
    <x v="1"/>
    <s v="Dr. Rahul"/>
    <x v="5"/>
    <n v="80462.210000000006"/>
    <n v="3"/>
    <x v="0"/>
    <s v="AB+"/>
    <x v="4"/>
    <s v="Under Treatment"/>
  </r>
  <r>
    <x v="632"/>
    <s v="2026-04-07"/>
    <x v="32"/>
    <x v="0"/>
    <x v="5"/>
    <s v="Dr. Nisha"/>
    <x v="4"/>
    <n v="65363.55"/>
    <n v="5"/>
    <x v="1"/>
    <s v="O-"/>
    <x v="4"/>
    <s v="Recovered"/>
  </r>
  <r>
    <x v="633"/>
    <s v="2026-02-12"/>
    <x v="0"/>
    <x v="1"/>
    <x v="1"/>
    <s v="Dr. Rahul"/>
    <x v="4"/>
    <n v="21558.42"/>
    <n v="3"/>
    <x v="1"/>
    <s v="AB-"/>
    <x v="2"/>
    <s v="Under Treatment"/>
  </r>
  <r>
    <x v="634"/>
    <s v="2025-08-17"/>
    <x v="0"/>
    <x v="1"/>
    <x v="0"/>
    <s v="Dr. Arun"/>
    <x v="3"/>
    <n v="20716.349999999999"/>
    <n v="11"/>
    <x v="1"/>
    <s v="A+"/>
    <x v="0"/>
    <s v="Referred"/>
  </r>
  <r>
    <x v="635"/>
    <s v="2025-11-02"/>
    <x v="41"/>
    <x v="0"/>
    <x v="0"/>
    <s v="Dr. Arun"/>
    <x v="0"/>
    <n v="70175.03"/>
    <n v="18"/>
    <x v="1"/>
    <s v="O+"/>
    <x v="2"/>
    <s v="Recovered"/>
  </r>
  <r>
    <x v="636"/>
    <s v="2026-06-04"/>
    <x v="83"/>
    <x v="1"/>
    <x v="4"/>
    <s v="Dr. Nisha"/>
    <x v="1"/>
    <n v="99939.61"/>
    <n v="7"/>
    <x v="1"/>
    <s v="AB+"/>
    <x v="1"/>
    <s v="Under Treatment"/>
  </r>
  <r>
    <x v="637"/>
    <s v="2025-08-22"/>
    <x v="32"/>
    <x v="1"/>
    <x v="5"/>
    <s v="Dr. Meera"/>
    <x v="3"/>
    <n v="144806.85999999999"/>
    <n v="10"/>
    <x v="0"/>
    <s v="A-"/>
    <x v="3"/>
    <s v="Referred"/>
  </r>
  <r>
    <x v="638"/>
    <s v="2025-08-30"/>
    <x v="64"/>
    <x v="0"/>
    <x v="2"/>
    <s v="Dr. Priya"/>
    <x v="4"/>
    <n v="107075.81"/>
    <n v="2"/>
    <x v="0"/>
    <s v="A-"/>
    <x v="5"/>
    <s v="Recovered"/>
  </r>
  <r>
    <x v="639"/>
    <s v="2025-05-07"/>
    <x v="85"/>
    <x v="1"/>
    <x v="1"/>
    <s v="Dr. Priya"/>
    <x v="4"/>
    <n v="2539.61"/>
    <n v="9"/>
    <x v="0"/>
    <s v="A+"/>
    <x v="5"/>
    <s v="Recovered"/>
  </r>
  <r>
    <x v="640"/>
    <s v="2025-12-31"/>
    <x v="74"/>
    <x v="1"/>
    <x v="2"/>
    <s v="Dr. Rahul"/>
    <x v="1"/>
    <n v="83908.479999999996"/>
    <n v="20"/>
    <x v="1"/>
    <s v="A-"/>
    <x v="5"/>
    <s v="Referred"/>
  </r>
  <r>
    <x v="641"/>
    <s v="2025-02-22"/>
    <x v="48"/>
    <x v="0"/>
    <x v="5"/>
    <s v="Dr. Anil"/>
    <x v="1"/>
    <n v="127715.3"/>
    <n v="6"/>
    <x v="1"/>
    <s v="B+"/>
    <x v="1"/>
    <s v="Recovered"/>
  </r>
  <r>
    <x v="642"/>
    <s v="2025-05-11"/>
    <x v="58"/>
    <x v="0"/>
    <x v="0"/>
    <s v="Dr. Rahul"/>
    <x v="3"/>
    <n v="24230.43"/>
    <n v="3"/>
    <x v="1"/>
    <s v="AB-"/>
    <x v="4"/>
    <s v="Under Treatment"/>
  </r>
  <r>
    <x v="643"/>
    <s v="2025-08-19"/>
    <x v="37"/>
    <x v="0"/>
    <x v="4"/>
    <s v="Dr. Priya"/>
    <x v="0"/>
    <n v="141007.78"/>
    <n v="19"/>
    <x v="0"/>
    <s v="A+"/>
    <x v="5"/>
    <s v="Referred"/>
  </r>
  <r>
    <x v="644"/>
    <s v="2026-06-01"/>
    <x v="83"/>
    <x v="1"/>
    <x v="5"/>
    <s v="Dr. Nisha"/>
    <x v="0"/>
    <n v="33614.1"/>
    <n v="8"/>
    <x v="1"/>
    <s v="AB+"/>
    <x v="4"/>
    <s v="Under Treatment"/>
  </r>
  <r>
    <x v="645"/>
    <s v="2025-06-30"/>
    <x v="80"/>
    <x v="1"/>
    <x v="2"/>
    <s v="Dr. Rahul"/>
    <x v="1"/>
    <n v="89954.68"/>
    <n v="12"/>
    <x v="0"/>
    <s v="AB+"/>
    <x v="1"/>
    <s v="Referred"/>
  </r>
  <r>
    <x v="646"/>
    <s v="2025-10-13"/>
    <x v="0"/>
    <x v="0"/>
    <x v="3"/>
    <s v="Dr. Arun"/>
    <x v="4"/>
    <n v="85458.36"/>
    <n v="3"/>
    <x v="1"/>
    <s v="A-"/>
    <x v="4"/>
    <s v="Recovered"/>
  </r>
  <r>
    <x v="647"/>
    <s v="2025-12-23"/>
    <x v="34"/>
    <x v="1"/>
    <x v="1"/>
    <s v="Dr. Arun"/>
    <x v="4"/>
    <n v="59011.93"/>
    <n v="17"/>
    <x v="1"/>
    <s v="AB-"/>
    <x v="5"/>
    <s v="Under Treatment"/>
  </r>
  <r>
    <x v="648"/>
    <s v="2026-05-01"/>
    <x v="38"/>
    <x v="0"/>
    <x v="2"/>
    <s v="Dr. Priya"/>
    <x v="4"/>
    <n v="20429.580000000002"/>
    <n v="11"/>
    <x v="1"/>
    <s v="AB+"/>
    <x v="2"/>
    <s v="Under Treatment"/>
  </r>
  <r>
    <x v="649"/>
    <s v="2026-02-08"/>
    <x v="10"/>
    <x v="0"/>
    <x v="4"/>
    <s v="Dr. Anil"/>
    <x v="2"/>
    <n v="59712.47"/>
    <n v="6"/>
    <x v="1"/>
    <s v="O+"/>
    <x v="5"/>
    <s v="Recovered"/>
  </r>
  <r>
    <x v="650"/>
    <s v="2026-01-03"/>
    <x v="39"/>
    <x v="1"/>
    <x v="1"/>
    <s v="Dr. Arun"/>
    <x v="1"/>
    <n v="38858.449999999997"/>
    <n v="16"/>
    <x v="0"/>
    <s v="O-"/>
    <x v="1"/>
    <s v="Recovered"/>
  </r>
  <r>
    <x v="651"/>
    <s v="2025-03-17"/>
    <x v="15"/>
    <x v="1"/>
    <x v="2"/>
    <s v="Dr. Priya"/>
    <x v="0"/>
    <n v="95373.55"/>
    <n v="15"/>
    <x v="1"/>
    <s v="A+"/>
    <x v="0"/>
    <s v="Referred"/>
  </r>
  <r>
    <x v="652"/>
    <s v="2026-05-02"/>
    <x v="79"/>
    <x v="0"/>
    <x v="4"/>
    <s v="Dr. Rahul"/>
    <x v="1"/>
    <n v="26823.42"/>
    <n v="1"/>
    <x v="1"/>
    <s v="A-"/>
    <x v="1"/>
    <s v="Recovered"/>
  </r>
  <r>
    <x v="653"/>
    <s v="2026-06-20"/>
    <x v="41"/>
    <x v="0"/>
    <x v="4"/>
    <s v="Dr. Priya"/>
    <x v="0"/>
    <n v="3539.34"/>
    <n v="11"/>
    <x v="0"/>
    <s v="O-"/>
    <x v="4"/>
    <s v="Under Treatment"/>
  </r>
  <r>
    <x v="654"/>
    <s v="2025-06-14"/>
    <x v="28"/>
    <x v="1"/>
    <x v="5"/>
    <s v="Dr. Arun"/>
    <x v="0"/>
    <n v="142078.53"/>
    <n v="5"/>
    <x v="1"/>
    <s v="A-"/>
    <x v="4"/>
    <s v="Referred"/>
  </r>
  <r>
    <x v="655"/>
    <s v="2025-05-03"/>
    <x v="10"/>
    <x v="1"/>
    <x v="0"/>
    <s v="Dr. Nisha"/>
    <x v="0"/>
    <n v="57791.89"/>
    <n v="5"/>
    <x v="1"/>
    <s v="A-"/>
    <x v="3"/>
    <s v="Under Treatment"/>
  </r>
  <r>
    <x v="656"/>
    <s v="2026-01-04"/>
    <x v="47"/>
    <x v="0"/>
    <x v="4"/>
    <s v="Dr. Priya"/>
    <x v="4"/>
    <n v="49773.8"/>
    <n v="12"/>
    <x v="1"/>
    <s v="B+"/>
    <x v="0"/>
    <s v="Under Treatment"/>
  </r>
  <r>
    <x v="657"/>
    <s v="2025-05-23"/>
    <x v="21"/>
    <x v="0"/>
    <x v="4"/>
    <s v="Dr. Nisha"/>
    <x v="0"/>
    <n v="91235"/>
    <n v="9"/>
    <x v="0"/>
    <s v="A-"/>
    <x v="3"/>
    <s v="Recovered"/>
  </r>
  <r>
    <x v="658"/>
    <s v="2026-03-22"/>
    <x v="85"/>
    <x v="0"/>
    <x v="5"/>
    <s v="Dr. Nisha"/>
    <x v="4"/>
    <n v="30036.639999999999"/>
    <n v="6"/>
    <x v="0"/>
    <s v="B+"/>
    <x v="5"/>
    <s v="Under Treatment"/>
  </r>
  <r>
    <x v="659"/>
    <s v="2025-04-21"/>
    <x v="59"/>
    <x v="0"/>
    <x v="3"/>
    <s v="Dr. Rahul"/>
    <x v="0"/>
    <n v="29898.85"/>
    <n v="13"/>
    <x v="1"/>
    <s v="B-"/>
    <x v="2"/>
    <s v="Referred"/>
  </r>
  <r>
    <x v="660"/>
    <s v="2025-05-16"/>
    <x v="0"/>
    <x v="1"/>
    <x v="0"/>
    <s v="Dr. Nisha"/>
    <x v="3"/>
    <n v="91529.58"/>
    <n v="10"/>
    <x v="0"/>
    <s v="B+"/>
    <x v="1"/>
    <s v="Under Treatment"/>
  </r>
  <r>
    <x v="661"/>
    <s v="2026-03-28"/>
    <x v="26"/>
    <x v="1"/>
    <x v="1"/>
    <s v="Dr. Nisha"/>
    <x v="2"/>
    <n v="61926.3"/>
    <n v="16"/>
    <x v="1"/>
    <s v="O-"/>
    <x v="0"/>
    <s v="Referred"/>
  </r>
  <r>
    <x v="662"/>
    <s v="2025-10-28"/>
    <x v="39"/>
    <x v="0"/>
    <x v="5"/>
    <s v="Dr. Nisha"/>
    <x v="1"/>
    <n v="66322.240000000005"/>
    <n v="7"/>
    <x v="0"/>
    <s v="A-"/>
    <x v="5"/>
    <s v="Recovered"/>
  </r>
  <r>
    <x v="663"/>
    <s v="2025-06-15"/>
    <x v="9"/>
    <x v="1"/>
    <x v="1"/>
    <s v="Dr. Meera"/>
    <x v="3"/>
    <n v="84484.54"/>
    <n v="6"/>
    <x v="0"/>
    <s v="B-"/>
    <x v="3"/>
    <s v="Recovered"/>
  </r>
  <r>
    <x v="664"/>
    <s v="2025-05-13"/>
    <x v="43"/>
    <x v="0"/>
    <x v="3"/>
    <s v="Dr. Meera"/>
    <x v="0"/>
    <n v="111453.32"/>
    <n v="10"/>
    <x v="0"/>
    <s v="A-"/>
    <x v="4"/>
    <s v="Recovered"/>
  </r>
  <r>
    <x v="665"/>
    <s v="2025-09-14"/>
    <x v="0"/>
    <x v="0"/>
    <x v="0"/>
    <s v="Dr. Arun"/>
    <x v="5"/>
    <n v="39945.75"/>
    <n v="7"/>
    <x v="0"/>
    <s v="O-"/>
    <x v="3"/>
    <s v="Recovered"/>
  </r>
  <r>
    <x v="666"/>
    <s v="2025-01-09"/>
    <x v="46"/>
    <x v="0"/>
    <x v="3"/>
    <s v="Dr. Anil"/>
    <x v="0"/>
    <n v="68893.14"/>
    <n v="18"/>
    <x v="1"/>
    <s v="A-"/>
    <x v="3"/>
    <s v="Referred"/>
  </r>
  <r>
    <x v="667"/>
    <s v="2026-02-18"/>
    <x v="36"/>
    <x v="0"/>
    <x v="2"/>
    <s v="Dr. Meera"/>
    <x v="1"/>
    <n v="75731.149999999994"/>
    <n v="9"/>
    <x v="1"/>
    <s v="A-"/>
    <x v="4"/>
    <s v="Recovered"/>
  </r>
  <r>
    <x v="668"/>
    <s v="2026-04-15"/>
    <x v="16"/>
    <x v="0"/>
    <x v="2"/>
    <s v="Dr. Anil"/>
    <x v="3"/>
    <n v="78187.460000000006"/>
    <n v="20"/>
    <x v="0"/>
    <s v="B-"/>
    <x v="3"/>
    <s v="Referred"/>
  </r>
  <r>
    <x v="669"/>
    <s v="2025-07-26"/>
    <x v="49"/>
    <x v="0"/>
    <x v="1"/>
    <s v="Dr. Meera"/>
    <x v="2"/>
    <n v="110307.06"/>
    <n v="14"/>
    <x v="0"/>
    <s v="B-"/>
    <x v="2"/>
    <s v="Referred"/>
  </r>
  <r>
    <x v="670"/>
    <s v="2026-03-30"/>
    <x v="5"/>
    <x v="1"/>
    <x v="5"/>
    <s v="Dr. Anil"/>
    <x v="3"/>
    <n v="41728.199999999997"/>
    <n v="18"/>
    <x v="1"/>
    <s v="A-"/>
    <x v="4"/>
    <s v="Referred"/>
  </r>
  <r>
    <x v="671"/>
    <s v="2025-07-26"/>
    <x v="82"/>
    <x v="0"/>
    <x v="2"/>
    <s v="Dr. Anil"/>
    <x v="5"/>
    <n v="104635.02"/>
    <n v="14"/>
    <x v="0"/>
    <s v="O+"/>
    <x v="3"/>
    <s v="Recovered"/>
  </r>
  <r>
    <x v="672"/>
    <s v="2025-12-02"/>
    <x v="15"/>
    <x v="0"/>
    <x v="5"/>
    <s v="Dr. Anil"/>
    <x v="3"/>
    <n v="130888.45"/>
    <n v="18"/>
    <x v="1"/>
    <s v="A+"/>
    <x v="0"/>
    <s v="Referred"/>
  </r>
  <r>
    <x v="673"/>
    <s v="2025-12-22"/>
    <x v="89"/>
    <x v="1"/>
    <x v="2"/>
    <s v="Dr. Arun"/>
    <x v="3"/>
    <n v="9036.23"/>
    <n v="16"/>
    <x v="1"/>
    <s v="A-"/>
    <x v="1"/>
    <s v="Recovered"/>
  </r>
  <r>
    <x v="674"/>
    <s v="2025-12-15"/>
    <x v="89"/>
    <x v="1"/>
    <x v="1"/>
    <s v="Dr. Rahul"/>
    <x v="4"/>
    <n v="76863.59"/>
    <n v="11"/>
    <x v="1"/>
    <s v="B+"/>
    <x v="4"/>
    <s v="Recovered"/>
  </r>
  <r>
    <x v="675"/>
    <s v="2026-03-25"/>
    <x v="64"/>
    <x v="1"/>
    <x v="1"/>
    <s v="Dr. Priya"/>
    <x v="5"/>
    <n v="6999.37"/>
    <n v="5"/>
    <x v="1"/>
    <s v="B-"/>
    <x v="0"/>
    <s v="Under Treatment"/>
  </r>
  <r>
    <x v="676"/>
    <s v="2025-10-22"/>
    <x v="70"/>
    <x v="1"/>
    <x v="0"/>
    <s v="Dr. Nisha"/>
    <x v="0"/>
    <n v="14489.12"/>
    <n v="20"/>
    <x v="1"/>
    <s v="A+"/>
    <x v="1"/>
    <s v="Recovered"/>
  </r>
  <r>
    <x v="677"/>
    <s v="2026-04-25"/>
    <x v="27"/>
    <x v="1"/>
    <x v="1"/>
    <s v="Dr. Nisha"/>
    <x v="3"/>
    <n v="18400.419999999998"/>
    <n v="15"/>
    <x v="1"/>
    <s v="A-"/>
    <x v="4"/>
    <s v="Referred"/>
  </r>
  <r>
    <x v="678"/>
    <s v="2025-11-10"/>
    <x v="86"/>
    <x v="1"/>
    <x v="5"/>
    <s v="Dr. Anil"/>
    <x v="1"/>
    <n v="50638.400000000001"/>
    <n v="14"/>
    <x v="0"/>
    <s v="O+"/>
    <x v="1"/>
    <s v="Referred"/>
  </r>
  <r>
    <x v="679"/>
    <s v="2025-12-26"/>
    <x v="37"/>
    <x v="0"/>
    <x v="4"/>
    <s v="Dr. Nisha"/>
    <x v="1"/>
    <n v="117096.35"/>
    <n v="1"/>
    <x v="1"/>
    <s v="O-"/>
    <x v="2"/>
    <s v="Referred"/>
  </r>
  <r>
    <x v="680"/>
    <s v="2026-05-12"/>
    <x v="51"/>
    <x v="1"/>
    <x v="5"/>
    <s v="Dr. Priya"/>
    <x v="1"/>
    <n v="11716.53"/>
    <n v="10"/>
    <x v="1"/>
    <s v="O+"/>
    <x v="5"/>
    <s v="Recovered"/>
  </r>
  <r>
    <x v="681"/>
    <s v="2026-02-05"/>
    <x v="0"/>
    <x v="1"/>
    <x v="1"/>
    <s v="Dr. Priya"/>
    <x v="1"/>
    <n v="18885.96"/>
    <n v="12"/>
    <x v="0"/>
    <s v="AB-"/>
    <x v="0"/>
    <s v="Under Treatment"/>
  </r>
  <r>
    <x v="682"/>
    <s v="2025-04-09"/>
    <x v="32"/>
    <x v="1"/>
    <x v="4"/>
    <s v="Dr. Nisha"/>
    <x v="1"/>
    <n v="132671.94"/>
    <n v="16"/>
    <x v="0"/>
    <s v="B-"/>
    <x v="3"/>
    <s v="Under Treatment"/>
  </r>
  <r>
    <x v="683"/>
    <s v="2026-04-24"/>
    <x v="3"/>
    <x v="0"/>
    <x v="4"/>
    <s v="Dr. Nisha"/>
    <x v="0"/>
    <n v="146988.04999999999"/>
    <n v="5"/>
    <x v="0"/>
    <s v="B+"/>
    <x v="4"/>
    <s v="Under Treatment"/>
  </r>
  <r>
    <x v="684"/>
    <s v="2026-03-08"/>
    <x v="71"/>
    <x v="0"/>
    <x v="1"/>
    <s v="Dr. Rahul"/>
    <x v="1"/>
    <n v="148974.76999999999"/>
    <n v="18"/>
    <x v="1"/>
    <s v="A+"/>
    <x v="5"/>
    <s v="Under Treatment"/>
  </r>
  <r>
    <x v="685"/>
    <s v="2025-07-07"/>
    <x v="48"/>
    <x v="1"/>
    <x v="0"/>
    <s v="Dr. Meera"/>
    <x v="5"/>
    <n v="65727.100000000006"/>
    <n v="8"/>
    <x v="1"/>
    <s v="O+"/>
    <x v="5"/>
    <s v="Recovered"/>
  </r>
  <r>
    <x v="686"/>
    <s v="2025-12-13"/>
    <x v="9"/>
    <x v="0"/>
    <x v="2"/>
    <s v="Dr. Rahul"/>
    <x v="5"/>
    <n v="46803.38"/>
    <n v="17"/>
    <x v="1"/>
    <s v="O-"/>
    <x v="2"/>
    <s v="Referred"/>
  </r>
  <r>
    <x v="687"/>
    <s v="2025-07-12"/>
    <x v="59"/>
    <x v="1"/>
    <x v="2"/>
    <s v="Dr. Nisha"/>
    <x v="2"/>
    <n v="31950.39"/>
    <n v="11"/>
    <x v="1"/>
    <s v="AB-"/>
    <x v="4"/>
    <s v="Recovered"/>
  </r>
  <r>
    <x v="688"/>
    <s v="2025-04-25"/>
    <x v="0"/>
    <x v="1"/>
    <x v="0"/>
    <s v="Dr. Priya"/>
    <x v="1"/>
    <n v="123071.47"/>
    <n v="5"/>
    <x v="0"/>
    <s v="B+"/>
    <x v="4"/>
    <s v="Recovered"/>
  </r>
  <r>
    <x v="689"/>
    <s v="2026-05-31"/>
    <x v="45"/>
    <x v="1"/>
    <x v="4"/>
    <s v="Dr. Anil"/>
    <x v="1"/>
    <n v="116815.29"/>
    <n v="12"/>
    <x v="0"/>
    <s v="A-"/>
    <x v="3"/>
    <s v="Under Treatment"/>
  </r>
  <r>
    <x v="690"/>
    <s v="2025-12-12"/>
    <x v="55"/>
    <x v="1"/>
    <x v="1"/>
    <s v="Dr. Nisha"/>
    <x v="2"/>
    <n v="141229.94"/>
    <n v="18"/>
    <x v="0"/>
    <s v="B+"/>
    <x v="3"/>
    <s v="Under Treatment"/>
  </r>
  <r>
    <x v="691"/>
    <s v="2025-01-22"/>
    <x v="84"/>
    <x v="1"/>
    <x v="1"/>
    <s v="Dr. Priya"/>
    <x v="1"/>
    <n v="101914.57"/>
    <n v="1"/>
    <x v="1"/>
    <s v="B-"/>
    <x v="2"/>
    <s v="Recovered"/>
  </r>
  <r>
    <x v="692"/>
    <s v="2025-03-29"/>
    <x v="83"/>
    <x v="0"/>
    <x v="2"/>
    <s v="Dr. Meera"/>
    <x v="2"/>
    <n v="29896.46"/>
    <n v="16"/>
    <x v="1"/>
    <s v="A-"/>
    <x v="0"/>
    <s v="Under Treatment"/>
  </r>
  <r>
    <x v="693"/>
    <s v="2025-07-04"/>
    <x v="78"/>
    <x v="0"/>
    <x v="0"/>
    <s v="Dr. Nisha"/>
    <x v="1"/>
    <n v="109732.76"/>
    <n v="3"/>
    <x v="0"/>
    <s v="O-"/>
    <x v="0"/>
    <s v="Referred"/>
  </r>
  <r>
    <x v="694"/>
    <s v="2025-11-23"/>
    <x v="77"/>
    <x v="0"/>
    <x v="5"/>
    <s v="Dr. Arun"/>
    <x v="2"/>
    <n v="89477.759999999995"/>
    <n v="18"/>
    <x v="0"/>
    <s v="AB+"/>
    <x v="3"/>
    <s v="Recovered"/>
  </r>
  <r>
    <x v="695"/>
    <s v="2025-07-18"/>
    <x v="23"/>
    <x v="1"/>
    <x v="3"/>
    <s v="Dr. Arun"/>
    <x v="4"/>
    <n v="125169.51"/>
    <n v="4"/>
    <x v="1"/>
    <s v="O+"/>
    <x v="3"/>
    <s v="Recovered"/>
  </r>
  <r>
    <x v="696"/>
    <s v="2025-07-14"/>
    <x v="72"/>
    <x v="0"/>
    <x v="5"/>
    <s v="Dr. Rahul"/>
    <x v="1"/>
    <n v="32813.879999999997"/>
    <n v="4"/>
    <x v="0"/>
    <s v="B-"/>
    <x v="1"/>
    <s v="Under Treatment"/>
  </r>
  <r>
    <x v="697"/>
    <s v="2026-06-07"/>
    <x v="70"/>
    <x v="1"/>
    <x v="4"/>
    <s v="Dr. Anil"/>
    <x v="2"/>
    <n v="143314.1"/>
    <n v="10"/>
    <x v="1"/>
    <s v="B+"/>
    <x v="0"/>
    <s v="Recovered"/>
  </r>
  <r>
    <x v="698"/>
    <s v="2025-02-26"/>
    <x v="57"/>
    <x v="1"/>
    <x v="2"/>
    <s v="Dr. Arun"/>
    <x v="1"/>
    <n v="41523.07"/>
    <n v="8"/>
    <x v="1"/>
    <s v="O+"/>
    <x v="2"/>
    <s v="Under Treatment"/>
  </r>
  <r>
    <x v="699"/>
    <s v="2025-02-08"/>
    <x v="4"/>
    <x v="1"/>
    <x v="0"/>
    <s v="Dr. Nisha"/>
    <x v="2"/>
    <n v="146878.07"/>
    <n v="12"/>
    <x v="1"/>
    <s v="B+"/>
    <x v="0"/>
    <s v="Under Treatment"/>
  </r>
  <r>
    <x v="700"/>
    <s v="2025-03-25"/>
    <x v="53"/>
    <x v="1"/>
    <x v="5"/>
    <s v="Dr. Anil"/>
    <x v="3"/>
    <n v="109890.82"/>
    <n v="16"/>
    <x v="1"/>
    <s v="O-"/>
    <x v="2"/>
    <s v="Under Treatment"/>
  </r>
  <r>
    <x v="701"/>
    <s v="2025-02-04"/>
    <x v="52"/>
    <x v="1"/>
    <x v="5"/>
    <s v="Dr. Nisha"/>
    <x v="4"/>
    <n v="121942.76"/>
    <n v="9"/>
    <x v="0"/>
    <s v="A-"/>
    <x v="2"/>
    <s v="Referred"/>
  </r>
  <r>
    <x v="702"/>
    <s v="2026-02-09"/>
    <x v="55"/>
    <x v="0"/>
    <x v="2"/>
    <s v="Dr. Priya"/>
    <x v="3"/>
    <n v="73944.23"/>
    <n v="10"/>
    <x v="0"/>
    <s v="AB+"/>
    <x v="4"/>
    <s v="Recovered"/>
  </r>
  <r>
    <x v="703"/>
    <s v="2026-01-16"/>
    <x v="9"/>
    <x v="0"/>
    <x v="0"/>
    <s v="Dr. Nisha"/>
    <x v="5"/>
    <n v="138477.76000000001"/>
    <n v="7"/>
    <x v="0"/>
    <s v="O-"/>
    <x v="2"/>
    <s v="Under Treatment"/>
  </r>
  <r>
    <x v="704"/>
    <s v="2026-04-21"/>
    <x v="15"/>
    <x v="0"/>
    <x v="2"/>
    <s v="Dr. Anil"/>
    <x v="1"/>
    <n v="4023.16"/>
    <n v="12"/>
    <x v="1"/>
    <s v="B-"/>
    <x v="3"/>
    <s v="Under Treatment"/>
  </r>
  <r>
    <x v="705"/>
    <s v="2026-03-12"/>
    <x v="15"/>
    <x v="1"/>
    <x v="4"/>
    <s v="Dr. Nisha"/>
    <x v="5"/>
    <n v="5355.63"/>
    <n v="3"/>
    <x v="0"/>
    <s v="O-"/>
    <x v="1"/>
    <s v="Under Treatment"/>
  </r>
  <r>
    <x v="706"/>
    <s v="2026-01-05"/>
    <x v="65"/>
    <x v="0"/>
    <x v="5"/>
    <s v="Dr. Nisha"/>
    <x v="4"/>
    <n v="78457.73"/>
    <n v="19"/>
    <x v="0"/>
    <s v="AB-"/>
    <x v="3"/>
    <s v="Referred"/>
  </r>
  <r>
    <x v="707"/>
    <s v="2025-08-14"/>
    <x v="48"/>
    <x v="1"/>
    <x v="5"/>
    <s v="Dr. Arun"/>
    <x v="1"/>
    <n v="68508.81"/>
    <n v="3"/>
    <x v="0"/>
    <s v="AB+"/>
    <x v="4"/>
    <s v="Referred"/>
  </r>
  <r>
    <x v="708"/>
    <s v="2025-11-21"/>
    <x v="83"/>
    <x v="1"/>
    <x v="2"/>
    <s v="Dr. Arun"/>
    <x v="4"/>
    <n v="63771.13"/>
    <n v="19"/>
    <x v="1"/>
    <s v="B-"/>
    <x v="1"/>
    <s v="Recovered"/>
  </r>
  <r>
    <x v="709"/>
    <s v="2026-04-11"/>
    <x v="1"/>
    <x v="1"/>
    <x v="1"/>
    <s v="Dr. Nisha"/>
    <x v="2"/>
    <n v="84379.23"/>
    <n v="4"/>
    <x v="0"/>
    <s v="O+"/>
    <x v="5"/>
    <s v="Under Treatment"/>
  </r>
  <r>
    <x v="710"/>
    <s v="2025-08-06"/>
    <x v="61"/>
    <x v="1"/>
    <x v="0"/>
    <s v="Dr. Meera"/>
    <x v="3"/>
    <n v="61024.17"/>
    <n v="16"/>
    <x v="1"/>
    <s v="A+"/>
    <x v="1"/>
    <s v="Referred"/>
  </r>
  <r>
    <x v="711"/>
    <s v="2025-08-08"/>
    <x v="67"/>
    <x v="1"/>
    <x v="5"/>
    <s v="Dr. Arun"/>
    <x v="1"/>
    <n v="70501.759999999995"/>
    <n v="13"/>
    <x v="1"/>
    <s v="AB+"/>
    <x v="5"/>
    <s v="Referred"/>
  </r>
  <r>
    <x v="712"/>
    <s v="2026-03-11"/>
    <x v="71"/>
    <x v="0"/>
    <x v="0"/>
    <s v="Dr. Arun"/>
    <x v="3"/>
    <n v="19433.599999999999"/>
    <n v="20"/>
    <x v="0"/>
    <s v="AB-"/>
    <x v="2"/>
    <s v="Recovered"/>
  </r>
  <r>
    <x v="713"/>
    <s v="2025-01-17"/>
    <x v="19"/>
    <x v="1"/>
    <x v="2"/>
    <s v="Dr. Rahul"/>
    <x v="0"/>
    <n v="46274.97"/>
    <n v="2"/>
    <x v="0"/>
    <s v="A+"/>
    <x v="2"/>
    <s v="Referred"/>
  </r>
  <r>
    <x v="714"/>
    <s v="2025-11-30"/>
    <x v="53"/>
    <x v="1"/>
    <x v="2"/>
    <s v="Dr. Anil"/>
    <x v="0"/>
    <n v="145892.51"/>
    <n v="6"/>
    <x v="0"/>
    <s v="A+"/>
    <x v="5"/>
    <s v="Recovered"/>
  </r>
  <r>
    <x v="715"/>
    <s v="2025-08-18"/>
    <x v="30"/>
    <x v="1"/>
    <x v="3"/>
    <s v="Dr. Nisha"/>
    <x v="2"/>
    <n v="62791.93"/>
    <n v="9"/>
    <x v="0"/>
    <s v="B-"/>
    <x v="4"/>
    <s v="Under Treatment"/>
  </r>
  <r>
    <x v="716"/>
    <s v="2026-05-01"/>
    <x v="83"/>
    <x v="0"/>
    <x v="4"/>
    <s v="Dr. Nisha"/>
    <x v="0"/>
    <n v="94522.78"/>
    <n v="5"/>
    <x v="1"/>
    <s v="B-"/>
    <x v="1"/>
    <s v="Recovered"/>
  </r>
  <r>
    <x v="717"/>
    <s v="2025-02-11"/>
    <x v="72"/>
    <x v="0"/>
    <x v="3"/>
    <s v="Dr. Nisha"/>
    <x v="5"/>
    <n v="100115.3"/>
    <n v="15"/>
    <x v="1"/>
    <s v="AB-"/>
    <x v="0"/>
    <s v="Referred"/>
  </r>
  <r>
    <x v="718"/>
    <s v="2025-03-05"/>
    <x v="2"/>
    <x v="1"/>
    <x v="3"/>
    <s v="Dr. Anil"/>
    <x v="2"/>
    <n v="86875.92"/>
    <n v="19"/>
    <x v="1"/>
    <s v="B+"/>
    <x v="0"/>
    <s v="Referred"/>
  </r>
  <r>
    <x v="719"/>
    <s v="2025-06-12"/>
    <x v="17"/>
    <x v="0"/>
    <x v="0"/>
    <s v="Dr. Anil"/>
    <x v="5"/>
    <n v="26614.44"/>
    <n v="5"/>
    <x v="1"/>
    <s v="A+"/>
    <x v="1"/>
    <s v="Recovered"/>
  </r>
  <r>
    <x v="720"/>
    <s v="2025-01-22"/>
    <x v="15"/>
    <x v="1"/>
    <x v="2"/>
    <s v="Dr. Meera"/>
    <x v="1"/>
    <n v="147892.47"/>
    <n v="6"/>
    <x v="1"/>
    <s v="O-"/>
    <x v="4"/>
    <s v="Referred"/>
  </r>
  <r>
    <x v="721"/>
    <s v="2025-12-07"/>
    <x v="33"/>
    <x v="1"/>
    <x v="0"/>
    <s v="Dr. Rahul"/>
    <x v="1"/>
    <n v="143888.42000000001"/>
    <n v="4"/>
    <x v="0"/>
    <s v="AB-"/>
    <x v="4"/>
    <s v="Under Treatment"/>
  </r>
  <r>
    <x v="722"/>
    <s v="2025-06-06"/>
    <x v="86"/>
    <x v="1"/>
    <x v="0"/>
    <s v="Dr. Rahul"/>
    <x v="2"/>
    <n v="101284.17"/>
    <n v="18"/>
    <x v="0"/>
    <s v="A-"/>
    <x v="2"/>
    <s v="Under Treatment"/>
  </r>
  <r>
    <x v="723"/>
    <s v="2026-03-03"/>
    <x v="24"/>
    <x v="0"/>
    <x v="5"/>
    <s v="Dr. Rahul"/>
    <x v="3"/>
    <n v="42918.07"/>
    <n v="4"/>
    <x v="1"/>
    <s v="A-"/>
    <x v="1"/>
    <s v="Referred"/>
  </r>
  <r>
    <x v="724"/>
    <s v="2025-01-16"/>
    <x v="43"/>
    <x v="0"/>
    <x v="0"/>
    <s v="Dr. Rahul"/>
    <x v="3"/>
    <n v="82063.7"/>
    <n v="5"/>
    <x v="0"/>
    <s v="B-"/>
    <x v="3"/>
    <s v="Recovered"/>
  </r>
  <r>
    <x v="725"/>
    <s v="2025-10-07"/>
    <x v="26"/>
    <x v="1"/>
    <x v="4"/>
    <s v="Dr. Nisha"/>
    <x v="5"/>
    <n v="83327.509999999995"/>
    <n v="7"/>
    <x v="1"/>
    <s v="A-"/>
    <x v="0"/>
    <s v="Under Treatment"/>
  </r>
  <r>
    <x v="726"/>
    <s v="2026-01-01"/>
    <x v="68"/>
    <x v="1"/>
    <x v="4"/>
    <s v="Dr. Priya"/>
    <x v="2"/>
    <n v="67484.600000000006"/>
    <n v="11"/>
    <x v="1"/>
    <s v="AB-"/>
    <x v="4"/>
    <s v="Under Treatment"/>
  </r>
  <r>
    <x v="727"/>
    <s v="2025-02-22"/>
    <x v="35"/>
    <x v="0"/>
    <x v="2"/>
    <s v="Dr. Meera"/>
    <x v="1"/>
    <n v="59230.37"/>
    <n v="18"/>
    <x v="1"/>
    <s v="B-"/>
    <x v="1"/>
    <s v="Referred"/>
  </r>
  <r>
    <x v="728"/>
    <s v="2026-06-22"/>
    <x v="8"/>
    <x v="0"/>
    <x v="1"/>
    <s v="Dr. Rahul"/>
    <x v="0"/>
    <n v="114718.94"/>
    <n v="14"/>
    <x v="0"/>
    <s v="AB-"/>
    <x v="4"/>
    <s v="Referred"/>
  </r>
  <r>
    <x v="729"/>
    <s v="2026-03-31"/>
    <x v="20"/>
    <x v="1"/>
    <x v="2"/>
    <s v="Dr. Priya"/>
    <x v="4"/>
    <n v="141519.01999999999"/>
    <n v="20"/>
    <x v="0"/>
    <s v="B+"/>
    <x v="5"/>
    <s v="Referred"/>
  </r>
  <r>
    <x v="730"/>
    <s v="2025-09-07"/>
    <x v="56"/>
    <x v="0"/>
    <x v="2"/>
    <s v="Dr. Anil"/>
    <x v="5"/>
    <n v="128921.32"/>
    <n v="17"/>
    <x v="1"/>
    <s v="B+"/>
    <x v="4"/>
    <s v="Recovered"/>
  </r>
  <r>
    <x v="731"/>
    <s v="2025-07-14"/>
    <x v="88"/>
    <x v="1"/>
    <x v="4"/>
    <s v="Dr. Nisha"/>
    <x v="0"/>
    <n v="124823.33"/>
    <n v="13"/>
    <x v="0"/>
    <s v="AB-"/>
    <x v="3"/>
    <s v="Under Treatment"/>
  </r>
  <r>
    <x v="732"/>
    <s v="2025-03-01"/>
    <x v="10"/>
    <x v="0"/>
    <x v="4"/>
    <s v="Dr. Rahul"/>
    <x v="3"/>
    <n v="24744.29"/>
    <n v="8"/>
    <x v="1"/>
    <s v="B+"/>
    <x v="5"/>
    <s v="Under Treatment"/>
  </r>
  <r>
    <x v="733"/>
    <s v="2025-12-23"/>
    <x v="42"/>
    <x v="1"/>
    <x v="2"/>
    <s v="Dr. Meera"/>
    <x v="4"/>
    <n v="76328.740000000005"/>
    <n v="4"/>
    <x v="1"/>
    <s v="A+"/>
    <x v="2"/>
    <s v="Referred"/>
  </r>
  <r>
    <x v="734"/>
    <s v="2026-01-02"/>
    <x v="4"/>
    <x v="1"/>
    <x v="2"/>
    <s v="Dr. Arun"/>
    <x v="4"/>
    <n v="70839.179999999993"/>
    <n v="20"/>
    <x v="1"/>
    <s v="B+"/>
    <x v="1"/>
    <s v="Under Treatment"/>
  </r>
  <r>
    <x v="735"/>
    <s v="2025-06-14"/>
    <x v="33"/>
    <x v="1"/>
    <x v="2"/>
    <s v="Dr. Anil"/>
    <x v="5"/>
    <n v="110124.88"/>
    <n v="1"/>
    <x v="1"/>
    <s v="AB+"/>
    <x v="1"/>
    <s v="Referred"/>
  </r>
  <r>
    <x v="736"/>
    <s v="2026-05-19"/>
    <x v="42"/>
    <x v="1"/>
    <x v="3"/>
    <s v="Dr. Nisha"/>
    <x v="5"/>
    <n v="83311.41"/>
    <n v="7"/>
    <x v="0"/>
    <s v="O+"/>
    <x v="4"/>
    <s v="Referred"/>
  </r>
  <r>
    <x v="737"/>
    <s v="2025-07-14"/>
    <x v="84"/>
    <x v="1"/>
    <x v="5"/>
    <s v="Dr. Meera"/>
    <x v="0"/>
    <n v="23080.26"/>
    <n v="15"/>
    <x v="0"/>
    <s v="B+"/>
    <x v="0"/>
    <s v="Recovered"/>
  </r>
  <r>
    <x v="738"/>
    <s v="2026-05-29"/>
    <x v="56"/>
    <x v="0"/>
    <x v="1"/>
    <s v="Dr. Meera"/>
    <x v="3"/>
    <n v="78898.61"/>
    <n v="3"/>
    <x v="0"/>
    <s v="O-"/>
    <x v="1"/>
    <s v="Recovered"/>
  </r>
  <r>
    <x v="739"/>
    <s v="2025-01-22"/>
    <x v="60"/>
    <x v="0"/>
    <x v="0"/>
    <s v="Dr. Nisha"/>
    <x v="5"/>
    <n v="36683.97"/>
    <n v="5"/>
    <x v="1"/>
    <s v="O+"/>
    <x v="5"/>
    <s v="Recovered"/>
  </r>
  <r>
    <x v="740"/>
    <s v="2025-09-17"/>
    <x v="39"/>
    <x v="0"/>
    <x v="3"/>
    <s v="Dr. Arun"/>
    <x v="2"/>
    <n v="119379.6"/>
    <n v="8"/>
    <x v="0"/>
    <s v="AB+"/>
    <x v="4"/>
    <s v="Recovered"/>
  </r>
  <r>
    <x v="741"/>
    <s v="2025-07-11"/>
    <x v="64"/>
    <x v="0"/>
    <x v="1"/>
    <s v="Dr. Rahul"/>
    <x v="0"/>
    <n v="32115.66"/>
    <n v="20"/>
    <x v="1"/>
    <s v="B+"/>
    <x v="0"/>
    <s v="Referred"/>
  </r>
  <r>
    <x v="742"/>
    <s v="2025-12-02"/>
    <x v="86"/>
    <x v="1"/>
    <x v="5"/>
    <s v="Dr. Anil"/>
    <x v="1"/>
    <n v="109454"/>
    <n v="5"/>
    <x v="1"/>
    <s v="A+"/>
    <x v="4"/>
    <s v="Recovered"/>
  </r>
  <r>
    <x v="743"/>
    <s v="2025-05-05"/>
    <x v="81"/>
    <x v="0"/>
    <x v="5"/>
    <s v="Dr. Meera"/>
    <x v="4"/>
    <n v="48556.73"/>
    <n v="6"/>
    <x v="1"/>
    <s v="B-"/>
    <x v="4"/>
    <s v="Under Treatment"/>
  </r>
  <r>
    <x v="744"/>
    <s v="2025-10-05"/>
    <x v="9"/>
    <x v="1"/>
    <x v="5"/>
    <s v="Dr. Meera"/>
    <x v="3"/>
    <n v="82621.990000000005"/>
    <n v="14"/>
    <x v="1"/>
    <s v="AB-"/>
    <x v="0"/>
    <s v="Recovered"/>
  </r>
  <r>
    <x v="745"/>
    <s v="2025-04-27"/>
    <x v="8"/>
    <x v="1"/>
    <x v="0"/>
    <s v="Dr. Priya"/>
    <x v="1"/>
    <n v="48293.57"/>
    <n v="2"/>
    <x v="1"/>
    <s v="B-"/>
    <x v="4"/>
    <s v="Recovered"/>
  </r>
  <r>
    <x v="746"/>
    <s v="2025-06-02"/>
    <x v="74"/>
    <x v="1"/>
    <x v="5"/>
    <s v="Dr. Priya"/>
    <x v="3"/>
    <n v="39428.019999999997"/>
    <n v="8"/>
    <x v="1"/>
    <s v="B-"/>
    <x v="2"/>
    <s v="Under Treatment"/>
  </r>
  <r>
    <x v="747"/>
    <s v="2025-03-11"/>
    <x v="64"/>
    <x v="1"/>
    <x v="2"/>
    <s v="Dr. Arun"/>
    <x v="0"/>
    <n v="106407.2"/>
    <n v="14"/>
    <x v="1"/>
    <s v="AB-"/>
    <x v="1"/>
    <s v="Referred"/>
  </r>
  <r>
    <x v="748"/>
    <s v="2025-04-07"/>
    <x v="50"/>
    <x v="1"/>
    <x v="2"/>
    <s v="Dr. Priya"/>
    <x v="0"/>
    <n v="65208.5"/>
    <n v="20"/>
    <x v="1"/>
    <s v="A-"/>
    <x v="0"/>
    <s v="Referred"/>
  </r>
  <r>
    <x v="749"/>
    <s v="2026-03-10"/>
    <x v="19"/>
    <x v="0"/>
    <x v="3"/>
    <s v="Dr. Anil"/>
    <x v="5"/>
    <n v="145053.20000000001"/>
    <n v="8"/>
    <x v="0"/>
    <s v="A+"/>
    <x v="2"/>
    <s v="Referred"/>
  </r>
  <r>
    <x v="750"/>
    <s v="2025-02-09"/>
    <x v="79"/>
    <x v="0"/>
    <x v="1"/>
    <s v="Dr. Anil"/>
    <x v="5"/>
    <n v="131055.96"/>
    <n v="16"/>
    <x v="1"/>
    <s v="B+"/>
    <x v="3"/>
    <s v="Under Treatment"/>
  </r>
  <r>
    <x v="751"/>
    <s v="2026-03-14"/>
    <x v="43"/>
    <x v="1"/>
    <x v="3"/>
    <s v="Dr. Anil"/>
    <x v="5"/>
    <n v="115839.82"/>
    <n v="3"/>
    <x v="0"/>
    <s v="B+"/>
    <x v="5"/>
    <s v="Recovered"/>
  </r>
  <r>
    <x v="752"/>
    <s v="2025-01-13"/>
    <x v="56"/>
    <x v="0"/>
    <x v="1"/>
    <s v="Dr. Anil"/>
    <x v="3"/>
    <n v="104545.44"/>
    <n v="20"/>
    <x v="0"/>
    <s v="B-"/>
    <x v="4"/>
    <s v="Referred"/>
  </r>
  <r>
    <x v="753"/>
    <s v="2025-08-17"/>
    <x v="86"/>
    <x v="1"/>
    <x v="3"/>
    <s v="Dr. Rahul"/>
    <x v="5"/>
    <n v="97830.43"/>
    <n v="7"/>
    <x v="0"/>
    <s v="A-"/>
    <x v="0"/>
    <s v="Referred"/>
  </r>
  <r>
    <x v="754"/>
    <s v="2025-06-21"/>
    <x v="33"/>
    <x v="0"/>
    <x v="2"/>
    <s v="Dr. Nisha"/>
    <x v="3"/>
    <n v="94760.08"/>
    <n v="5"/>
    <x v="0"/>
    <s v="AB+"/>
    <x v="5"/>
    <s v="Recovered"/>
  </r>
  <r>
    <x v="755"/>
    <s v="2026-05-29"/>
    <x v="82"/>
    <x v="1"/>
    <x v="3"/>
    <s v="Dr. Priya"/>
    <x v="0"/>
    <n v="58797.18"/>
    <n v="16"/>
    <x v="0"/>
    <s v="O-"/>
    <x v="4"/>
    <s v="Under Treatment"/>
  </r>
  <r>
    <x v="756"/>
    <s v="2025-11-25"/>
    <x v="54"/>
    <x v="0"/>
    <x v="5"/>
    <s v="Dr. Meera"/>
    <x v="5"/>
    <n v="42451.6"/>
    <n v="6"/>
    <x v="0"/>
    <s v="B+"/>
    <x v="2"/>
    <s v="Recovered"/>
  </r>
  <r>
    <x v="757"/>
    <s v="2025-11-07"/>
    <x v="46"/>
    <x v="0"/>
    <x v="1"/>
    <s v="Dr. Anil"/>
    <x v="5"/>
    <n v="77289.2"/>
    <n v="20"/>
    <x v="0"/>
    <s v="A-"/>
    <x v="4"/>
    <s v="Recovered"/>
  </r>
  <r>
    <x v="758"/>
    <s v="2025-03-02"/>
    <x v="35"/>
    <x v="1"/>
    <x v="2"/>
    <s v="Dr. Priya"/>
    <x v="4"/>
    <n v="144560.12"/>
    <n v="12"/>
    <x v="0"/>
    <s v="O-"/>
    <x v="1"/>
    <s v="Under Treatment"/>
  </r>
  <r>
    <x v="759"/>
    <s v="2025-08-04"/>
    <x v="88"/>
    <x v="1"/>
    <x v="2"/>
    <s v="Dr. Arun"/>
    <x v="3"/>
    <n v="146124.1"/>
    <n v="12"/>
    <x v="1"/>
    <s v="A+"/>
    <x v="3"/>
    <s v="Under Treatment"/>
  </r>
  <r>
    <x v="760"/>
    <s v="2026-01-24"/>
    <x v="46"/>
    <x v="1"/>
    <x v="5"/>
    <s v="Dr. Rahul"/>
    <x v="2"/>
    <n v="86877.94"/>
    <n v="8"/>
    <x v="0"/>
    <s v="AB-"/>
    <x v="5"/>
    <s v="Referred"/>
  </r>
  <r>
    <x v="761"/>
    <s v="2025-10-09"/>
    <x v="77"/>
    <x v="1"/>
    <x v="0"/>
    <s v="Dr. Priya"/>
    <x v="1"/>
    <n v="86034.9"/>
    <n v="6"/>
    <x v="0"/>
    <s v="A+"/>
    <x v="3"/>
    <s v="Under Treatment"/>
  </r>
  <r>
    <x v="762"/>
    <s v="2025-07-07"/>
    <x v="49"/>
    <x v="0"/>
    <x v="3"/>
    <s v="Dr. Arun"/>
    <x v="0"/>
    <n v="36988.39"/>
    <n v="15"/>
    <x v="1"/>
    <s v="AB-"/>
    <x v="0"/>
    <s v="Recovered"/>
  </r>
  <r>
    <x v="763"/>
    <s v="2025-11-02"/>
    <x v="50"/>
    <x v="0"/>
    <x v="4"/>
    <s v="Dr. Nisha"/>
    <x v="5"/>
    <n v="94449.46"/>
    <n v="15"/>
    <x v="1"/>
    <s v="AB+"/>
    <x v="5"/>
    <s v="Recovered"/>
  </r>
  <r>
    <x v="764"/>
    <s v="2025-08-18"/>
    <x v="64"/>
    <x v="0"/>
    <x v="0"/>
    <s v="Dr. Nisha"/>
    <x v="2"/>
    <n v="54927.91"/>
    <n v="2"/>
    <x v="1"/>
    <s v="B-"/>
    <x v="3"/>
    <s v="Referred"/>
  </r>
  <r>
    <x v="765"/>
    <s v="2025-11-04"/>
    <x v="68"/>
    <x v="1"/>
    <x v="0"/>
    <s v="Dr. Priya"/>
    <x v="1"/>
    <n v="117026.74"/>
    <n v="20"/>
    <x v="1"/>
    <s v="O-"/>
    <x v="2"/>
    <s v="Under Treatment"/>
  </r>
  <r>
    <x v="766"/>
    <s v="2025-12-02"/>
    <x v="85"/>
    <x v="1"/>
    <x v="1"/>
    <s v="Dr. Rahul"/>
    <x v="0"/>
    <n v="124002.13"/>
    <n v="3"/>
    <x v="1"/>
    <s v="B-"/>
    <x v="4"/>
    <s v="Under Treatment"/>
  </r>
  <r>
    <x v="767"/>
    <s v="2025-08-10"/>
    <x v="44"/>
    <x v="1"/>
    <x v="2"/>
    <s v="Dr. Priya"/>
    <x v="2"/>
    <n v="42827.24"/>
    <n v="15"/>
    <x v="0"/>
    <s v="AB-"/>
    <x v="2"/>
    <s v="Under Treatment"/>
  </r>
  <r>
    <x v="768"/>
    <s v="2025-02-23"/>
    <x v="48"/>
    <x v="1"/>
    <x v="1"/>
    <s v="Dr. Nisha"/>
    <x v="5"/>
    <n v="59998.04"/>
    <n v="15"/>
    <x v="1"/>
    <s v="O-"/>
    <x v="2"/>
    <s v="Recovered"/>
  </r>
  <r>
    <x v="769"/>
    <s v="2026-02-23"/>
    <x v="69"/>
    <x v="1"/>
    <x v="5"/>
    <s v="Dr. Meera"/>
    <x v="4"/>
    <n v="132623.56"/>
    <n v="10"/>
    <x v="1"/>
    <s v="A-"/>
    <x v="2"/>
    <s v="Referred"/>
  </r>
  <r>
    <x v="770"/>
    <s v="2025-09-01"/>
    <x v="25"/>
    <x v="0"/>
    <x v="3"/>
    <s v="Dr. Priya"/>
    <x v="2"/>
    <n v="149568.25"/>
    <n v="13"/>
    <x v="1"/>
    <s v="A-"/>
    <x v="3"/>
    <s v="Referred"/>
  </r>
  <r>
    <x v="771"/>
    <s v="2025-11-17"/>
    <x v="72"/>
    <x v="0"/>
    <x v="1"/>
    <s v="Dr. Rahul"/>
    <x v="0"/>
    <n v="32537.41"/>
    <n v="16"/>
    <x v="0"/>
    <s v="A+"/>
    <x v="0"/>
    <s v="Under Treatment"/>
  </r>
  <r>
    <x v="772"/>
    <s v="2025-05-27"/>
    <x v="1"/>
    <x v="1"/>
    <x v="3"/>
    <s v="Dr. Priya"/>
    <x v="2"/>
    <n v="14174"/>
    <n v="18"/>
    <x v="0"/>
    <s v="B+"/>
    <x v="2"/>
    <s v="Referred"/>
  </r>
  <r>
    <x v="773"/>
    <s v="2025-11-13"/>
    <x v="15"/>
    <x v="0"/>
    <x v="1"/>
    <s v="Dr. Anil"/>
    <x v="1"/>
    <n v="122941.45"/>
    <n v="13"/>
    <x v="1"/>
    <s v="A+"/>
    <x v="5"/>
    <s v="Recovered"/>
  </r>
  <r>
    <x v="774"/>
    <s v="2025-11-21"/>
    <x v="64"/>
    <x v="1"/>
    <x v="0"/>
    <s v="Dr. Meera"/>
    <x v="4"/>
    <n v="124875.97"/>
    <n v="13"/>
    <x v="1"/>
    <s v="O-"/>
    <x v="3"/>
    <s v="Referred"/>
  </r>
  <r>
    <x v="775"/>
    <s v="2026-05-05"/>
    <x v="80"/>
    <x v="1"/>
    <x v="2"/>
    <s v="Dr. Priya"/>
    <x v="5"/>
    <n v="7988.53"/>
    <n v="19"/>
    <x v="1"/>
    <s v="B-"/>
    <x v="3"/>
    <s v="Referred"/>
  </r>
  <r>
    <x v="776"/>
    <s v="2025-05-06"/>
    <x v="24"/>
    <x v="1"/>
    <x v="2"/>
    <s v="Dr. Rahul"/>
    <x v="2"/>
    <n v="19455.34"/>
    <n v="17"/>
    <x v="0"/>
    <s v="AB-"/>
    <x v="3"/>
    <s v="Recovered"/>
  </r>
  <r>
    <x v="777"/>
    <s v="2026-05-13"/>
    <x v="48"/>
    <x v="0"/>
    <x v="5"/>
    <s v="Dr. Nisha"/>
    <x v="0"/>
    <n v="16424.25"/>
    <n v="9"/>
    <x v="0"/>
    <s v="B+"/>
    <x v="3"/>
    <s v="Recovered"/>
  </r>
  <r>
    <x v="778"/>
    <s v="2025-07-20"/>
    <x v="2"/>
    <x v="0"/>
    <x v="5"/>
    <s v="Dr. Priya"/>
    <x v="1"/>
    <n v="68307.16"/>
    <n v="16"/>
    <x v="1"/>
    <s v="A-"/>
    <x v="5"/>
    <s v="Under Treatment"/>
  </r>
  <r>
    <x v="779"/>
    <s v="2025-10-20"/>
    <x v="22"/>
    <x v="0"/>
    <x v="4"/>
    <s v="Dr. Arun"/>
    <x v="3"/>
    <n v="69880"/>
    <n v="17"/>
    <x v="0"/>
    <s v="A+"/>
    <x v="2"/>
    <s v="Under Treatment"/>
  </r>
  <r>
    <x v="780"/>
    <s v="2026-03-29"/>
    <x v="29"/>
    <x v="0"/>
    <x v="0"/>
    <s v="Dr. Anil"/>
    <x v="1"/>
    <n v="23554.22"/>
    <n v="16"/>
    <x v="1"/>
    <s v="A+"/>
    <x v="3"/>
    <s v="Under Treatment"/>
  </r>
  <r>
    <x v="781"/>
    <s v="2026-02-08"/>
    <x v="85"/>
    <x v="1"/>
    <x v="4"/>
    <s v="Dr. Meera"/>
    <x v="4"/>
    <n v="10909.32"/>
    <n v="12"/>
    <x v="0"/>
    <s v="O-"/>
    <x v="1"/>
    <s v="Under Treatment"/>
  </r>
  <r>
    <x v="782"/>
    <s v="2025-03-30"/>
    <x v="6"/>
    <x v="1"/>
    <x v="3"/>
    <s v="Dr. Nisha"/>
    <x v="3"/>
    <n v="74818.929999999993"/>
    <n v="1"/>
    <x v="0"/>
    <s v="B-"/>
    <x v="4"/>
    <s v="Under Treatment"/>
  </r>
  <r>
    <x v="783"/>
    <s v="2025-03-14"/>
    <x v="60"/>
    <x v="0"/>
    <x v="0"/>
    <s v="Dr. Nisha"/>
    <x v="0"/>
    <n v="74265.75"/>
    <n v="8"/>
    <x v="1"/>
    <s v="O+"/>
    <x v="1"/>
    <s v="Referred"/>
  </r>
  <r>
    <x v="784"/>
    <s v="2026-06-09"/>
    <x v="29"/>
    <x v="1"/>
    <x v="4"/>
    <s v="Dr. Priya"/>
    <x v="1"/>
    <n v="45951.37"/>
    <n v="19"/>
    <x v="1"/>
    <s v="A-"/>
    <x v="2"/>
    <s v="Recovered"/>
  </r>
  <r>
    <x v="785"/>
    <s v="2025-08-08"/>
    <x v="7"/>
    <x v="1"/>
    <x v="4"/>
    <s v="Dr. Meera"/>
    <x v="4"/>
    <n v="115691"/>
    <n v="7"/>
    <x v="1"/>
    <s v="O+"/>
    <x v="5"/>
    <s v="Referred"/>
  </r>
  <r>
    <x v="786"/>
    <s v="2026-06-18"/>
    <x v="1"/>
    <x v="1"/>
    <x v="3"/>
    <s v="Dr. Meera"/>
    <x v="3"/>
    <n v="146662.43"/>
    <n v="4"/>
    <x v="1"/>
    <s v="AB-"/>
    <x v="2"/>
    <s v="Recovered"/>
  </r>
  <r>
    <x v="787"/>
    <s v="2025-07-17"/>
    <x v="2"/>
    <x v="1"/>
    <x v="5"/>
    <s v="Dr. Nisha"/>
    <x v="1"/>
    <n v="13953.78"/>
    <n v="4"/>
    <x v="0"/>
    <s v="A+"/>
    <x v="1"/>
    <s v="Under Treatment"/>
  </r>
  <r>
    <x v="788"/>
    <s v="2026-05-01"/>
    <x v="76"/>
    <x v="1"/>
    <x v="3"/>
    <s v="Dr. Priya"/>
    <x v="4"/>
    <n v="41257.14"/>
    <n v="2"/>
    <x v="0"/>
    <s v="O-"/>
    <x v="4"/>
    <s v="Referred"/>
  </r>
  <r>
    <x v="789"/>
    <s v="2025-03-21"/>
    <x v="21"/>
    <x v="1"/>
    <x v="0"/>
    <s v="Dr. Priya"/>
    <x v="2"/>
    <n v="113190.23"/>
    <n v="16"/>
    <x v="0"/>
    <s v="AB+"/>
    <x v="3"/>
    <s v="Referred"/>
  </r>
  <r>
    <x v="790"/>
    <s v="2025-02-28"/>
    <x v="72"/>
    <x v="1"/>
    <x v="0"/>
    <s v="Dr. Rahul"/>
    <x v="5"/>
    <n v="131869.03"/>
    <n v="11"/>
    <x v="0"/>
    <s v="A+"/>
    <x v="4"/>
    <s v="Recovered"/>
  </r>
  <r>
    <x v="791"/>
    <s v="2026-04-27"/>
    <x v="11"/>
    <x v="1"/>
    <x v="0"/>
    <s v="Dr. Meera"/>
    <x v="4"/>
    <n v="137474.60999999999"/>
    <n v="12"/>
    <x v="0"/>
    <s v="AB-"/>
    <x v="4"/>
    <s v="Referred"/>
  </r>
  <r>
    <x v="792"/>
    <s v="2025-09-23"/>
    <x v="78"/>
    <x v="1"/>
    <x v="2"/>
    <s v="Dr. Rahul"/>
    <x v="2"/>
    <n v="73783.28"/>
    <n v="16"/>
    <x v="0"/>
    <s v="A-"/>
    <x v="4"/>
    <s v="Under Treatment"/>
  </r>
  <r>
    <x v="793"/>
    <s v="2025-06-06"/>
    <x v="12"/>
    <x v="0"/>
    <x v="3"/>
    <s v="Dr. Priya"/>
    <x v="1"/>
    <n v="149803.04999999999"/>
    <n v="2"/>
    <x v="1"/>
    <s v="O+"/>
    <x v="5"/>
    <s v="Recovered"/>
  </r>
  <r>
    <x v="794"/>
    <s v="2025-07-24"/>
    <x v="74"/>
    <x v="0"/>
    <x v="3"/>
    <s v="Dr. Rahul"/>
    <x v="2"/>
    <n v="5503.04"/>
    <n v="15"/>
    <x v="1"/>
    <s v="O+"/>
    <x v="5"/>
    <s v="Recovered"/>
  </r>
  <r>
    <x v="795"/>
    <s v="2025-06-13"/>
    <x v="50"/>
    <x v="0"/>
    <x v="0"/>
    <s v="Dr. Meera"/>
    <x v="1"/>
    <n v="106640.38"/>
    <n v="2"/>
    <x v="1"/>
    <s v="A+"/>
    <x v="4"/>
    <s v="Under Treatment"/>
  </r>
  <r>
    <x v="796"/>
    <s v="2026-06-08"/>
    <x v="2"/>
    <x v="0"/>
    <x v="2"/>
    <s v="Dr. Anil"/>
    <x v="3"/>
    <n v="119082.03"/>
    <n v="9"/>
    <x v="0"/>
    <s v="O+"/>
    <x v="3"/>
    <s v="Recovered"/>
  </r>
  <r>
    <x v="797"/>
    <s v="2025-03-31"/>
    <x v="74"/>
    <x v="1"/>
    <x v="4"/>
    <s v="Dr. Meera"/>
    <x v="4"/>
    <n v="53186.04"/>
    <n v="20"/>
    <x v="1"/>
    <s v="A-"/>
    <x v="0"/>
    <s v="Under Treatment"/>
  </r>
  <r>
    <x v="798"/>
    <s v="2025-10-16"/>
    <x v="34"/>
    <x v="0"/>
    <x v="2"/>
    <s v="Dr. Rahul"/>
    <x v="5"/>
    <n v="31543.45"/>
    <n v="16"/>
    <x v="1"/>
    <s v="B+"/>
    <x v="4"/>
    <s v="Recovered"/>
  </r>
  <r>
    <x v="799"/>
    <s v="2026-01-27"/>
    <x v="45"/>
    <x v="1"/>
    <x v="4"/>
    <s v="Dr. Nisha"/>
    <x v="3"/>
    <n v="111055.71"/>
    <n v="12"/>
    <x v="0"/>
    <s v="AB+"/>
    <x v="5"/>
    <s v="Recovered"/>
  </r>
  <r>
    <x v="800"/>
    <s v="2025-03-03"/>
    <x v="21"/>
    <x v="1"/>
    <x v="1"/>
    <s v="Dr. Rahul"/>
    <x v="1"/>
    <n v="12968.44"/>
    <n v="11"/>
    <x v="1"/>
    <s v="O+"/>
    <x v="0"/>
    <s v="Recovered"/>
  </r>
  <r>
    <x v="801"/>
    <s v="2025-04-26"/>
    <x v="22"/>
    <x v="1"/>
    <x v="4"/>
    <s v="Dr. Meera"/>
    <x v="3"/>
    <n v="15481.55"/>
    <n v="7"/>
    <x v="1"/>
    <s v="A-"/>
    <x v="0"/>
    <s v="Recovered"/>
  </r>
  <r>
    <x v="802"/>
    <s v="2026-03-30"/>
    <x v="87"/>
    <x v="1"/>
    <x v="2"/>
    <s v="Dr. Anil"/>
    <x v="2"/>
    <n v="54640.85"/>
    <n v="17"/>
    <x v="1"/>
    <s v="O+"/>
    <x v="1"/>
    <s v="Recovered"/>
  </r>
  <r>
    <x v="803"/>
    <s v="2025-09-30"/>
    <x v="34"/>
    <x v="0"/>
    <x v="0"/>
    <s v="Dr. Priya"/>
    <x v="4"/>
    <n v="144963.69"/>
    <n v="10"/>
    <x v="0"/>
    <s v="B-"/>
    <x v="4"/>
    <s v="Under Treatment"/>
  </r>
  <r>
    <x v="804"/>
    <s v="2025-04-08"/>
    <x v="41"/>
    <x v="1"/>
    <x v="4"/>
    <s v="Dr. Arun"/>
    <x v="3"/>
    <n v="110502.39999999999"/>
    <n v="12"/>
    <x v="0"/>
    <s v="AB-"/>
    <x v="2"/>
    <s v="Recovered"/>
  </r>
  <r>
    <x v="805"/>
    <s v="2025-02-10"/>
    <x v="50"/>
    <x v="0"/>
    <x v="2"/>
    <s v="Dr. Priya"/>
    <x v="0"/>
    <n v="78044.800000000003"/>
    <n v="14"/>
    <x v="0"/>
    <s v="AB+"/>
    <x v="2"/>
    <s v="Under Treatment"/>
  </r>
  <r>
    <x v="806"/>
    <s v="2025-02-23"/>
    <x v="87"/>
    <x v="0"/>
    <x v="2"/>
    <s v="Dr. Priya"/>
    <x v="0"/>
    <n v="149473.91"/>
    <n v="3"/>
    <x v="1"/>
    <s v="O+"/>
    <x v="5"/>
    <s v="Under Treatment"/>
  </r>
  <r>
    <x v="807"/>
    <s v="2025-03-10"/>
    <x v="31"/>
    <x v="1"/>
    <x v="3"/>
    <s v="Dr. Rahul"/>
    <x v="4"/>
    <n v="143182"/>
    <n v="2"/>
    <x v="1"/>
    <s v="B+"/>
    <x v="0"/>
    <s v="Referred"/>
  </r>
  <r>
    <x v="808"/>
    <s v="2025-12-22"/>
    <x v="45"/>
    <x v="0"/>
    <x v="0"/>
    <s v="Dr. Priya"/>
    <x v="5"/>
    <n v="82928.490000000005"/>
    <n v="17"/>
    <x v="1"/>
    <s v="AB-"/>
    <x v="4"/>
    <s v="Under Treatment"/>
  </r>
  <r>
    <x v="809"/>
    <s v="2026-01-04"/>
    <x v="89"/>
    <x v="0"/>
    <x v="0"/>
    <s v="Dr. Rahul"/>
    <x v="3"/>
    <n v="12926.41"/>
    <n v="6"/>
    <x v="0"/>
    <s v="AB-"/>
    <x v="5"/>
    <s v="Recovered"/>
  </r>
  <r>
    <x v="810"/>
    <s v="2025-01-19"/>
    <x v="16"/>
    <x v="0"/>
    <x v="0"/>
    <s v="Dr. Nisha"/>
    <x v="2"/>
    <n v="43013.59"/>
    <n v="10"/>
    <x v="1"/>
    <s v="A-"/>
    <x v="4"/>
    <s v="Under Treatment"/>
  </r>
  <r>
    <x v="811"/>
    <s v="2025-08-10"/>
    <x v="76"/>
    <x v="1"/>
    <x v="2"/>
    <s v="Dr. Arun"/>
    <x v="4"/>
    <n v="53004.92"/>
    <n v="1"/>
    <x v="1"/>
    <s v="AB+"/>
    <x v="0"/>
    <s v="Recovered"/>
  </r>
  <r>
    <x v="812"/>
    <s v="2025-06-16"/>
    <x v="11"/>
    <x v="0"/>
    <x v="1"/>
    <s v="Dr. Priya"/>
    <x v="1"/>
    <n v="136265.17000000001"/>
    <n v="12"/>
    <x v="1"/>
    <s v="B-"/>
    <x v="0"/>
    <s v="Under Treatment"/>
  </r>
  <r>
    <x v="813"/>
    <s v="2025-06-10"/>
    <x v="48"/>
    <x v="1"/>
    <x v="5"/>
    <s v="Dr. Anil"/>
    <x v="4"/>
    <n v="27455.46"/>
    <n v="12"/>
    <x v="0"/>
    <s v="AB+"/>
    <x v="2"/>
    <s v="Under Treatment"/>
  </r>
  <r>
    <x v="814"/>
    <s v="2026-06-18"/>
    <x v="28"/>
    <x v="1"/>
    <x v="2"/>
    <s v="Dr. Anil"/>
    <x v="2"/>
    <n v="59571.77"/>
    <n v="2"/>
    <x v="0"/>
    <s v="B-"/>
    <x v="5"/>
    <s v="Under Treatment"/>
  </r>
  <r>
    <x v="815"/>
    <s v="2025-03-02"/>
    <x v="66"/>
    <x v="1"/>
    <x v="4"/>
    <s v="Dr. Meera"/>
    <x v="3"/>
    <n v="107049.59"/>
    <n v="5"/>
    <x v="0"/>
    <s v="AB+"/>
    <x v="5"/>
    <s v="Recovered"/>
  </r>
  <r>
    <x v="816"/>
    <s v="2026-06-16"/>
    <x v="17"/>
    <x v="1"/>
    <x v="4"/>
    <s v="Dr. Rahul"/>
    <x v="1"/>
    <n v="38984.839999999997"/>
    <n v="13"/>
    <x v="1"/>
    <s v="B-"/>
    <x v="1"/>
    <s v="Recovered"/>
  </r>
  <r>
    <x v="817"/>
    <s v="2026-06-11"/>
    <x v="53"/>
    <x v="0"/>
    <x v="2"/>
    <s v="Dr. Priya"/>
    <x v="4"/>
    <n v="146072.88"/>
    <n v="13"/>
    <x v="1"/>
    <s v="A-"/>
    <x v="0"/>
    <s v="Under Treatment"/>
  </r>
  <r>
    <x v="818"/>
    <s v="2025-12-27"/>
    <x v="55"/>
    <x v="0"/>
    <x v="0"/>
    <s v="Dr. Priya"/>
    <x v="1"/>
    <n v="43916.24"/>
    <n v="14"/>
    <x v="0"/>
    <s v="B-"/>
    <x v="2"/>
    <s v="Referred"/>
  </r>
  <r>
    <x v="819"/>
    <s v="2025-05-28"/>
    <x v="82"/>
    <x v="1"/>
    <x v="5"/>
    <s v="Dr. Meera"/>
    <x v="1"/>
    <n v="123706.94"/>
    <n v="7"/>
    <x v="1"/>
    <s v="B-"/>
    <x v="1"/>
    <s v="Recovered"/>
  </r>
  <r>
    <x v="820"/>
    <s v="2026-03-19"/>
    <x v="42"/>
    <x v="0"/>
    <x v="0"/>
    <s v="Dr. Rahul"/>
    <x v="4"/>
    <n v="13751.53"/>
    <n v="2"/>
    <x v="1"/>
    <s v="O-"/>
    <x v="0"/>
    <s v="Recovered"/>
  </r>
  <r>
    <x v="821"/>
    <s v="2025-12-02"/>
    <x v="35"/>
    <x v="1"/>
    <x v="0"/>
    <s v="Dr. Arun"/>
    <x v="2"/>
    <n v="32408.07"/>
    <n v="6"/>
    <x v="0"/>
    <s v="B+"/>
    <x v="5"/>
    <s v="Under Treatment"/>
  </r>
  <r>
    <x v="822"/>
    <s v="2025-03-25"/>
    <x v="33"/>
    <x v="0"/>
    <x v="1"/>
    <s v="Dr. Anil"/>
    <x v="0"/>
    <n v="91222.6"/>
    <n v="14"/>
    <x v="1"/>
    <s v="AB+"/>
    <x v="5"/>
    <s v="Under Treatment"/>
  </r>
  <r>
    <x v="823"/>
    <s v="2025-05-06"/>
    <x v="57"/>
    <x v="0"/>
    <x v="0"/>
    <s v="Dr. Anil"/>
    <x v="3"/>
    <n v="114235.57"/>
    <n v="10"/>
    <x v="0"/>
    <s v="O-"/>
    <x v="5"/>
    <s v="Under Treatment"/>
  </r>
  <r>
    <x v="824"/>
    <s v="2025-07-01"/>
    <x v="19"/>
    <x v="1"/>
    <x v="5"/>
    <s v="Dr. Nisha"/>
    <x v="1"/>
    <n v="141682.25"/>
    <n v="7"/>
    <x v="0"/>
    <s v="O-"/>
    <x v="0"/>
    <s v="Under Treatment"/>
  </r>
  <r>
    <x v="825"/>
    <s v="2025-05-21"/>
    <x v="34"/>
    <x v="1"/>
    <x v="0"/>
    <s v="Dr. Arun"/>
    <x v="5"/>
    <n v="108365.7"/>
    <n v="18"/>
    <x v="1"/>
    <s v="B-"/>
    <x v="3"/>
    <s v="Under Treatment"/>
  </r>
  <r>
    <x v="826"/>
    <s v="2025-06-14"/>
    <x v="87"/>
    <x v="1"/>
    <x v="2"/>
    <s v="Dr. Priya"/>
    <x v="3"/>
    <n v="7058.25"/>
    <n v="19"/>
    <x v="0"/>
    <s v="A+"/>
    <x v="1"/>
    <s v="Under Treatment"/>
  </r>
  <r>
    <x v="827"/>
    <s v="2025-01-09"/>
    <x v="13"/>
    <x v="1"/>
    <x v="0"/>
    <s v="Dr. Meera"/>
    <x v="2"/>
    <n v="132699.67000000001"/>
    <n v="16"/>
    <x v="0"/>
    <s v="AB-"/>
    <x v="0"/>
    <s v="Under Treatment"/>
  </r>
  <r>
    <x v="828"/>
    <s v="2025-01-02"/>
    <x v="67"/>
    <x v="1"/>
    <x v="1"/>
    <s v="Dr. Nisha"/>
    <x v="4"/>
    <n v="123907.56"/>
    <n v="6"/>
    <x v="1"/>
    <s v="B-"/>
    <x v="4"/>
    <s v="Recovered"/>
  </r>
  <r>
    <x v="829"/>
    <s v="2025-10-18"/>
    <x v="62"/>
    <x v="0"/>
    <x v="0"/>
    <s v="Dr. Nisha"/>
    <x v="0"/>
    <n v="23351.52"/>
    <n v="16"/>
    <x v="0"/>
    <s v="AB+"/>
    <x v="2"/>
    <s v="Under Treatment"/>
  </r>
  <r>
    <x v="830"/>
    <s v="2025-02-17"/>
    <x v="17"/>
    <x v="1"/>
    <x v="2"/>
    <s v="Dr. Rahul"/>
    <x v="2"/>
    <n v="57800.31"/>
    <n v="3"/>
    <x v="1"/>
    <s v="AB+"/>
    <x v="0"/>
    <s v="Under Treatment"/>
  </r>
  <r>
    <x v="831"/>
    <s v="2026-06-06"/>
    <x v="39"/>
    <x v="0"/>
    <x v="5"/>
    <s v="Dr. Priya"/>
    <x v="4"/>
    <n v="31045.03"/>
    <n v="13"/>
    <x v="1"/>
    <s v="O+"/>
    <x v="5"/>
    <s v="Referred"/>
  </r>
  <r>
    <x v="832"/>
    <s v="2026-02-14"/>
    <x v="83"/>
    <x v="0"/>
    <x v="4"/>
    <s v="Dr. Arun"/>
    <x v="1"/>
    <n v="10920.49"/>
    <n v="6"/>
    <x v="0"/>
    <s v="B-"/>
    <x v="0"/>
    <s v="Referred"/>
  </r>
  <r>
    <x v="833"/>
    <s v="2026-06-19"/>
    <x v="41"/>
    <x v="0"/>
    <x v="4"/>
    <s v="Dr. Rahul"/>
    <x v="0"/>
    <n v="28545.75"/>
    <n v="7"/>
    <x v="0"/>
    <s v="A+"/>
    <x v="5"/>
    <s v="Referred"/>
  </r>
  <r>
    <x v="834"/>
    <s v="2025-11-07"/>
    <x v="45"/>
    <x v="1"/>
    <x v="4"/>
    <s v="Dr. Priya"/>
    <x v="2"/>
    <n v="52900.68"/>
    <n v="14"/>
    <x v="0"/>
    <s v="O+"/>
    <x v="4"/>
    <s v="Referred"/>
  </r>
  <r>
    <x v="835"/>
    <s v="2025-06-27"/>
    <x v="69"/>
    <x v="0"/>
    <x v="2"/>
    <s v="Dr. Arun"/>
    <x v="4"/>
    <n v="8727.16"/>
    <n v="4"/>
    <x v="1"/>
    <s v="AB+"/>
    <x v="1"/>
    <s v="Referred"/>
  </r>
  <r>
    <x v="836"/>
    <s v="2025-11-27"/>
    <x v="58"/>
    <x v="1"/>
    <x v="5"/>
    <s v="Dr. Nisha"/>
    <x v="1"/>
    <n v="57891.78"/>
    <n v="4"/>
    <x v="1"/>
    <s v="B-"/>
    <x v="5"/>
    <s v="Referred"/>
  </r>
  <r>
    <x v="837"/>
    <s v="2025-09-25"/>
    <x v="15"/>
    <x v="1"/>
    <x v="2"/>
    <s v="Dr. Arun"/>
    <x v="1"/>
    <n v="59643.199999999997"/>
    <n v="14"/>
    <x v="0"/>
    <s v="O-"/>
    <x v="1"/>
    <s v="Under Treatment"/>
  </r>
  <r>
    <x v="838"/>
    <s v="2025-04-02"/>
    <x v="50"/>
    <x v="0"/>
    <x v="4"/>
    <s v="Dr. Arun"/>
    <x v="5"/>
    <n v="62714.13"/>
    <n v="5"/>
    <x v="1"/>
    <s v="AB-"/>
    <x v="3"/>
    <s v="Under Treatment"/>
  </r>
  <r>
    <x v="839"/>
    <s v="2025-09-04"/>
    <x v="86"/>
    <x v="0"/>
    <x v="4"/>
    <s v="Dr. Priya"/>
    <x v="1"/>
    <n v="62141.64"/>
    <n v="1"/>
    <x v="0"/>
    <s v="AB-"/>
    <x v="2"/>
    <s v="Recovered"/>
  </r>
  <r>
    <x v="840"/>
    <s v="2025-04-10"/>
    <x v="12"/>
    <x v="0"/>
    <x v="0"/>
    <s v="Dr. Priya"/>
    <x v="0"/>
    <n v="27974.44"/>
    <n v="6"/>
    <x v="1"/>
    <s v="O+"/>
    <x v="2"/>
    <s v="Referred"/>
  </r>
  <r>
    <x v="841"/>
    <s v="2025-01-14"/>
    <x v="61"/>
    <x v="0"/>
    <x v="3"/>
    <s v="Dr. Meera"/>
    <x v="4"/>
    <n v="146672.22"/>
    <n v="18"/>
    <x v="0"/>
    <s v="B+"/>
    <x v="5"/>
    <s v="Under Treatment"/>
  </r>
  <r>
    <x v="842"/>
    <s v="2026-01-20"/>
    <x v="80"/>
    <x v="1"/>
    <x v="0"/>
    <s v="Dr. Anil"/>
    <x v="3"/>
    <n v="144577.16"/>
    <n v="19"/>
    <x v="1"/>
    <s v="B-"/>
    <x v="4"/>
    <s v="Recovered"/>
  </r>
  <r>
    <x v="843"/>
    <s v="2025-04-14"/>
    <x v="23"/>
    <x v="1"/>
    <x v="1"/>
    <s v="Dr. Rahul"/>
    <x v="1"/>
    <n v="120985.22"/>
    <n v="15"/>
    <x v="0"/>
    <s v="A+"/>
    <x v="1"/>
    <s v="Referred"/>
  </r>
  <r>
    <x v="844"/>
    <s v="2025-01-19"/>
    <x v="20"/>
    <x v="1"/>
    <x v="5"/>
    <s v="Dr. Anil"/>
    <x v="4"/>
    <n v="129944.63"/>
    <n v="16"/>
    <x v="1"/>
    <s v="AB+"/>
    <x v="4"/>
    <s v="Under Treatment"/>
  </r>
  <r>
    <x v="845"/>
    <s v="2025-08-25"/>
    <x v="41"/>
    <x v="1"/>
    <x v="1"/>
    <s v="Dr. Nisha"/>
    <x v="4"/>
    <n v="57613.57"/>
    <n v="18"/>
    <x v="0"/>
    <s v="AB+"/>
    <x v="2"/>
    <s v="Referred"/>
  </r>
  <r>
    <x v="846"/>
    <s v="2025-11-07"/>
    <x v="9"/>
    <x v="1"/>
    <x v="0"/>
    <s v="Dr. Nisha"/>
    <x v="3"/>
    <n v="130464.09"/>
    <n v="2"/>
    <x v="0"/>
    <s v="AB-"/>
    <x v="1"/>
    <s v="Under Treatment"/>
  </r>
  <r>
    <x v="847"/>
    <s v="2025-04-04"/>
    <x v="50"/>
    <x v="1"/>
    <x v="4"/>
    <s v="Dr. Priya"/>
    <x v="0"/>
    <n v="7021.09"/>
    <n v="2"/>
    <x v="0"/>
    <s v="A+"/>
    <x v="0"/>
    <s v="Under Treatment"/>
  </r>
  <r>
    <x v="848"/>
    <s v="2026-04-03"/>
    <x v="9"/>
    <x v="1"/>
    <x v="1"/>
    <s v="Dr. Rahul"/>
    <x v="2"/>
    <n v="79882.490000000005"/>
    <n v="18"/>
    <x v="1"/>
    <s v="AB-"/>
    <x v="0"/>
    <s v="Under Treatment"/>
  </r>
  <r>
    <x v="849"/>
    <s v="2025-04-16"/>
    <x v="16"/>
    <x v="0"/>
    <x v="1"/>
    <s v="Dr. Priya"/>
    <x v="2"/>
    <n v="81372.320000000007"/>
    <n v="6"/>
    <x v="0"/>
    <s v="B-"/>
    <x v="5"/>
    <s v="Under Treatment"/>
  </r>
  <r>
    <x v="850"/>
    <s v="2025-12-22"/>
    <x v="40"/>
    <x v="0"/>
    <x v="5"/>
    <s v="Dr. Anil"/>
    <x v="4"/>
    <n v="47793.9"/>
    <n v="19"/>
    <x v="1"/>
    <s v="B-"/>
    <x v="1"/>
    <s v="Recovered"/>
  </r>
  <r>
    <x v="851"/>
    <s v="2025-05-09"/>
    <x v="52"/>
    <x v="1"/>
    <x v="5"/>
    <s v="Dr. Priya"/>
    <x v="3"/>
    <n v="62379.81"/>
    <n v="20"/>
    <x v="0"/>
    <s v="B-"/>
    <x v="4"/>
    <s v="Referred"/>
  </r>
  <r>
    <x v="852"/>
    <s v="2025-07-12"/>
    <x v="54"/>
    <x v="1"/>
    <x v="2"/>
    <s v="Dr. Arun"/>
    <x v="5"/>
    <n v="92180.42"/>
    <n v="4"/>
    <x v="0"/>
    <s v="A+"/>
    <x v="2"/>
    <s v="Referred"/>
  </r>
  <r>
    <x v="853"/>
    <s v="2025-09-10"/>
    <x v="63"/>
    <x v="0"/>
    <x v="2"/>
    <s v="Dr. Meera"/>
    <x v="1"/>
    <n v="20102.89"/>
    <n v="15"/>
    <x v="0"/>
    <s v="B+"/>
    <x v="3"/>
    <s v="Recovered"/>
  </r>
  <r>
    <x v="854"/>
    <s v="2026-06-17"/>
    <x v="10"/>
    <x v="0"/>
    <x v="0"/>
    <s v="Dr. Nisha"/>
    <x v="4"/>
    <n v="66109.37"/>
    <n v="17"/>
    <x v="0"/>
    <s v="O+"/>
    <x v="5"/>
    <s v="Under Treatment"/>
  </r>
  <r>
    <x v="855"/>
    <s v="2025-10-22"/>
    <x v="50"/>
    <x v="1"/>
    <x v="3"/>
    <s v="Dr. Anil"/>
    <x v="0"/>
    <n v="22678.19"/>
    <n v="19"/>
    <x v="1"/>
    <s v="A-"/>
    <x v="1"/>
    <s v="Referred"/>
  </r>
  <r>
    <x v="856"/>
    <s v="2026-02-03"/>
    <x v="44"/>
    <x v="0"/>
    <x v="1"/>
    <s v="Dr. Arun"/>
    <x v="2"/>
    <n v="135010.28"/>
    <n v="11"/>
    <x v="1"/>
    <s v="B-"/>
    <x v="2"/>
    <s v="Under Treatment"/>
  </r>
  <r>
    <x v="857"/>
    <s v="2025-05-06"/>
    <x v="51"/>
    <x v="0"/>
    <x v="1"/>
    <s v="Dr. Priya"/>
    <x v="3"/>
    <n v="56866.26"/>
    <n v="10"/>
    <x v="1"/>
    <s v="A+"/>
    <x v="1"/>
    <s v="Referred"/>
  </r>
  <r>
    <x v="858"/>
    <s v="2026-02-21"/>
    <x v="78"/>
    <x v="1"/>
    <x v="1"/>
    <s v="Dr. Priya"/>
    <x v="4"/>
    <n v="71696.679999999993"/>
    <n v="10"/>
    <x v="1"/>
    <s v="O+"/>
    <x v="2"/>
    <s v="Referred"/>
  </r>
  <r>
    <x v="859"/>
    <s v="2025-03-16"/>
    <x v="11"/>
    <x v="1"/>
    <x v="2"/>
    <s v="Dr. Anil"/>
    <x v="3"/>
    <n v="74334.720000000001"/>
    <n v="10"/>
    <x v="1"/>
    <s v="A-"/>
    <x v="0"/>
    <s v="Referred"/>
  </r>
  <r>
    <x v="860"/>
    <s v="2025-11-25"/>
    <x v="69"/>
    <x v="0"/>
    <x v="1"/>
    <s v="Dr. Arun"/>
    <x v="5"/>
    <n v="134111.84"/>
    <n v="2"/>
    <x v="1"/>
    <s v="AB-"/>
    <x v="5"/>
    <s v="Recovered"/>
  </r>
  <r>
    <x v="861"/>
    <s v="2026-01-11"/>
    <x v="1"/>
    <x v="0"/>
    <x v="3"/>
    <s v="Dr. Anil"/>
    <x v="1"/>
    <n v="107547.37"/>
    <n v="5"/>
    <x v="1"/>
    <s v="AB-"/>
    <x v="4"/>
    <s v="Referred"/>
  </r>
  <r>
    <x v="862"/>
    <s v="2026-01-02"/>
    <x v="89"/>
    <x v="0"/>
    <x v="2"/>
    <s v="Dr. Nisha"/>
    <x v="3"/>
    <n v="68094.11"/>
    <n v="6"/>
    <x v="0"/>
    <s v="O+"/>
    <x v="4"/>
    <s v="Referred"/>
  </r>
  <r>
    <x v="863"/>
    <s v="2026-04-21"/>
    <x v="75"/>
    <x v="0"/>
    <x v="2"/>
    <s v="Dr. Arun"/>
    <x v="0"/>
    <n v="8272.41"/>
    <n v="11"/>
    <x v="0"/>
    <s v="B-"/>
    <x v="4"/>
    <s v="Under Treatment"/>
  </r>
  <r>
    <x v="864"/>
    <s v="2025-11-12"/>
    <x v="40"/>
    <x v="1"/>
    <x v="0"/>
    <s v="Dr. Priya"/>
    <x v="3"/>
    <n v="63150.66"/>
    <n v="17"/>
    <x v="0"/>
    <s v="O+"/>
    <x v="0"/>
    <s v="Under Treatment"/>
  </r>
  <r>
    <x v="865"/>
    <s v="2025-10-28"/>
    <x v="55"/>
    <x v="1"/>
    <x v="0"/>
    <s v="Dr. Anil"/>
    <x v="3"/>
    <n v="72480.88"/>
    <n v="2"/>
    <x v="1"/>
    <s v="A-"/>
    <x v="4"/>
    <s v="Referred"/>
  </r>
  <r>
    <x v="866"/>
    <s v="2025-03-08"/>
    <x v="34"/>
    <x v="0"/>
    <x v="5"/>
    <s v="Dr. Priya"/>
    <x v="2"/>
    <n v="120379.66"/>
    <n v="12"/>
    <x v="1"/>
    <s v="AB-"/>
    <x v="4"/>
    <s v="Under Treatment"/>
  </r>
  <r>
    <x v="867"/>
    <s v="2026-02-19"/>
    <x v="80"/>
    <x v="1"/>
    <x v="1"/>
    <s v="Dr. Arun"/>
    <x v="3"/>
    <n v="40318.160000000003"/>
    <n v="17"/>
    <x v="1"/>
    <s v="B-"/>
    <x v="4"/>
    <s v="Recovered"/>
  </r>
  <r>
    <x v="868"/>
    <s v="2026-05-07"/>
    <x v="60"/>
    <x v="0"/>
    <x v="0"/>
    <s v="Dr. Rahul"/>
    <x v="4"/>
    <n v="99606.69"/>
    <n v="12"/>
    <x v="1"/>
    <s v="B-"/>
    <x v="0"/>
    <s v="Recovered"/>
  </r>
  <r>
    <x v="869"/>
    <s v="2025-08-06"/>
    <x v="88"/>
    <x v="1"/>
    <x v="5"/>
    <s v="Dr. Rahul"/>
    <x v="1"/>
    <n v="2172.4899999999998"/>
    <n v="7"/>
    <x v="1"/>
    <s v="B-"/>
    <x v="2"/>
    <s v="Referred"/>
  </r>
  <r>
    <x v="870"/>
    <s v="2025-01-31"/>
    <x v="75"/>
    <x v="0"/>
    <x v="1"/>
    <s v="Dr. Arun"/>
    <x v="2"/>
    <n v="105333.68"/>
    <n v="19"/>
    <x v="0"/>
    <s v="B-"/>
    <x v="5"/>
    <s v="Under Treatment"/>
  </r>
  <r>
    <x v="871"/>
    <s v="2025-11-27"/>
    <x v="79"/>
    <x v="0"/>
    <x v="0"/>
    <s v="Dr. Anil"/>
    <x v="5"/>
    <n v="87258.25"/>
    <n v="4"/>
    <x v="0"/>
    <s v="O-"/>
    <x v="5"/>
    <s v="Referred"/>
  </r>
  <r>
    <x v="872"/>
    <s v="2025-10-24"/>
    <x v="89"/>
    <x v="1"/>
    <x v="4"/>
    <s v="Dr. Arun"/>
    <x v="1"/>
    <n v="110006.06"/>
    <n v="1"/>
    <x v="0"/>
    <s v="A+"/>
    <x v="2"/>
    <s v="Under Treatment"/>
  </r>
  <r>
    <x v="873"/>
    <s v="2025-12-02"/>
    <x v="67"/>
    <x v="0"/>
    <x v="3"/>
    <s v="Dr. Nisha"/>
    <x v="0"/>
    <n v="46134.16"/>
    <n v="8"/>
    <x v="0"/>
    <s v="B-"/>
    <x v="3"/>
    <s v="Recovered"/>
  </r>
  <r>
    <x v="874"/>
    <s v="2025-06-02"/>
    <x v="29"/>
    <x v="0"/>
    <x v="3"/>
    <s v="Dr. Priya"/>
    <x v="2"/>
    <n v="19832.71"/>
    <n v="7"/>
    <x v="1"/>
    <s v="A+"/>
    <x v="5"/>
    <s v="Recovered"/>
  </r>
  <r>
    <x v="875"/>
    <s v="2026-05-03"/>
    <x v="61"/>
    <x v="0"/>
    <x v="0"/>
    <s v="Dr. Anil"/>
    <x v="2"/>
    <n v="141376.63"/>
    <n v="17"/>
    <x v="1"/>
    <s v="B-"/>
    <x v="2"/>
    <s v="Referred"/>
  </r>
  <r>
    <x v="876"/>
    <s v="2025-09-17"/>
    <x v="29"/>
    <x v="0"/>
    <x v="2"/>
    <s v="Dr. Priya"/>
    <x v="0"/>
    <n v="87533.14"/>
    <n v="7"/>
    <x v="0"/>
    <s v="A+"/>
    <x v="1"/>
    <s v="Recovered"/>
  </r>
  <r>
    <x v="877"/>
    <s v="2025-04-18"/>
    <x v="19"/>
    <x v="0"/>
    <x v="0"/>
    <s v="Dr. Priya"/>
    <x v="4"/>
    <n v="38190.15"/>
    <n v="7"/>
    <x v="1"/>
    <s v="A+"/>
    <x v="3"/>
    <s v="Referred"/>
  </r>
  <r>
    <x v="878"/>
    <s v="2025-02-06"/>
    <x v="81"/>
    <x v="1"/>
    <x v="1"/>
    <s v="Dr. Anil"/>
    <x v="5"/>
    <n v="17669.73"/>
    <n v="19"/>
    <x v="0"/>
    <s v="A-"/>
    <x v="4"/>
    <s v="Referred"/>
  </r>
  <r>
    <x v="879"/>
    <s v="2025-03-31"/>
    <x v="83"/>
    <x v="1"/>
    <x v="1"/>
    <s v="Dr. Priya"/>
    <x v="0"/>
    <n v="72117.58"/>
    <n v="20"/>
    <x v="0"/>
    <s v="B-"/>
    <x v="1"/>
    <s v="Referred"/>
  </r>
  <r>
    <x v="880"/>
    <s v="2025-01-20"/>
    <x v="76"/>
    <x v="1"/>
    <x v="4"/>
    <s v="Dr. Anil"/>
    <x v="3"/>
    <n v="105152.16"/>
    <n v="11"/>
    <x v="0"/>
    <s v="O+"/>
    <x v="4"/>
    <s v="Referred"/>
  </r>
  <r>
    <x v="881"/>
    <s v="2025-03-16"/>
    <x v="32"/>
    <x v="1"/>
    <x v="3"/>
    <s v="Dr. Meera"/>
    <x v="2"/>
    <n v="107335.56"/>
    <n v="4"/>
    <x v="0"/>
    <s v="B-"/>
    <x v="4"/>
    <s v="Under Treatment"/>
  </r>
  <r>
    <x v="882"/>
    <s v="2026-05-30"/>
    <x v="49"/>
    <x v="0"/>
    <x v="3"/>
    <s v="Dr. Rahul"/>
    <x v="2"/>
    <n v="134800.5"/>
    <n v="9"/>
    <x v="1"/>
    <s v="O+"/>
    <x v="4"/>
    <s v="Recovered"/>
  </r>
  <r>
    <x v="883"/>
    <s v="2025-10-26"/>
    <x v="29"/>
    <x v="1"/>
    <x v="0"/>
    <s v="Dr. Rahul"/>
    <x v="3"/>
    <n v="143891.94"/>
    <n v="7"/>
    <x v="1"/>
    <s v="B+"/>
    <x v="2"/>
    <s v="Referred"/>
  </r>
  <r>
    <x v="884"/>
    <s v="2025-01-31"/>
    <x v="20"/>
    <x v="1"/>
    <x v="3"/>
    <s v="Dr. Rahul"/>
    <x v="1"/>
    <n v="25820.15"/>
    <n v="20"/>
    <x v="0"/>
    <s v="AB-"/>
    <x v="3"/>
    <s v="Recovered"/>
  </r>
  <r>
    <x v="885"/>
    <s v="2025-04-12"/>
    <x v="43"/>
    <x v="0"/>
    <x v="4"/>
    <s v="Dr. Anil"/>
    <x v="5"/>
    <n v="107688.7"/>
    <n v="18"/>
    <x v="1"/>
    <s v="O-"/>
    <x v="0"/>
    <s v="Under Treatment"/>
  </r>
  <r>
    <x v="886"/>
    <s v="2026-05-04"/>
    <x v="72"/>
    <x v="0"/>
    <x v="1"/>
    <s v="Dr. Meera"/>
    <x v="4"/>
    <n v="6777.46"/>
    <n v="3"/>
    <x v="0"/>
    <s v="A-"/>
    <x v="5"/>
    <s v="Recovered"/>
  </r>
  <r>
    <x v="887"/>
    <s v="2025-10-15"/>
    <x v="64"/>
    <x v="1"/>
    <x v="5"/>
    <s v="Dr. Arun"/>
    <x v="4"/>
    <n v="67274.880000000005"/>
    <n v="10"/>
    <x v="1"/>
    <s v="A-"/>
    <x v="5"/>
    <s v="Recovered"/>
  </r>
  <r>
    <x v="888"/>
    <s v="2025-11-04"/>
    <x v="49"/>
    <x v="0"/>
    <x v="5"/>
    <s v="Dr. Arun"/>
    <x v="4"/>
    <n v="12814.7"/>
    <n v="1"/>
    <x v="0"/>
    <s v="B-"/>
    <x v="3"/>
    <s v="Referred"/>
  </r>
  <r>
    <x v="889"/>
    <s v="2026-05-08"/>
    <x v="75"/>
    <x v="1"/>
    <x v="5"/>
    <s v="Dr. Meera"/>
    <x v="2"/>
    <n v="93077.89"/>
    <n v="17"/>
    <x v="1"/>
    <s v="B-"/>
    <x v="5"/>
    <s v="Referred"/>
  </r>
  <r>
    <x v="890"/>
    <s v="2025-11-23"/>
    <x v="68"/>
    <x v="1"/>
    <x v="0"/>
    <s v="Dr. Rahul"/>
    <x v="2"/>
    <n v="35285.769999999997"/>
    <n v="1"/>
    <x v="0"/>
    <s v="A+"/>
    <x v="0"/>
    <s v="Referred"/>
  </r>
  <r>
    <x v="891"/>
    <s v="2025-02-08"/>
    <x v="85"/>
    <x v="1"/>
    <x v="3"/>
    <s v="Dr. Priya"/>
    <x v="4"/>
    <n v="12170"/>
    <n v="6"/>
    <x v="1"/>
    <s v="A+"/>
    <x v="5"/>
    <s v="Recovered"/>
  </r>
  <r>
    <x v="892"/>
    <s v="2026-04-19"/>
    <x v="53"/>
    <x v="0"/>
    <x v="4"/>
    <s v="Dr. Meera"/>
    <x v="3"/>
    <n v="108983.19"/>
    <n v="10"/>
    <x v="0"/>
    <s v="AB-"/>
    <x v="0"/>
    <s v="Recovered"/>
  </r>
  <r>
    <x v="893"/>
    <s v="2025-02-19"/>
    <x v="26"/>
    <x v="1"/>
    <x v="5"/>
    <s v="Dr. Priya"/>
    <x v="2"/>
    <n v="36088.58"/>
    <n v="6"/>
    <x v="1"/>
    <s v="A+"/>
    <x v="3"/>
    <s v="Recovered"/>
  </r>
  <r>
    <x v="894"/>
    <s v="2026-03-09"/>
    <x v="44"/>
    <x v="1"/>
    <x v="4"/>
    <s v="Dr. Arun"/>
    <x v="4"/>
    <n v="131665.20000000001"/>
    <n v="2"/>
    <x v="0"/>
    <s v="B+"/>
    <x v="4"/>
    <s v="Referred"/>
  </r>
  <r>
    <x v="895"/>
    <s v="2025-05-13"/>
    <x v="21"/>
    <x v="1"/>
    <x v="4"/>
    <s v="Dr. Arun"/>
    <x v="5"/>
    <n v="113155.09"/>
    <n v="2"/>
    <x v="0"/>
    <s v="B+"/>
    <x v="2"/>
    <s v="Under Treatment"/>
  </r>
  <r>
    <x v="896"/>
    <s v="2026-05-16"/>
    <x v="44"/>
    <x v="1"/>
    <x v="4"/>
    <s v="Dr. Meera"/>
    <x v="0"/>
    <n v="131627.56"/>
    <n v="16"/>
    <x v="1"/>
    <s v="O-"/>
    <x v="4"/>
    <s v="Referred"/>
  </r>
  <r>
    <x v="897"/>
    <s v="2025-11-09"/>
    <x v="30"/>
    <x v="1"/>
    <x v="1"/>
    <s v="Dr. Rahul"/>
    <x v="1"/>
    <n v="30714.91"/>
    <n v="16"/>
    <x v="0"/>
    <s v="A-"/>
    <x v="3"/>
    <s v="Referred"/>
  </r>
  <r>
    <x v="898"/>
    <s v="2025-11-29"/>
    <x v="6"/>
    <x v="0"/>
    <x v="4"/>
    <s v="Dr. Anil"/>
    <x v="2"/>
    <n v="33160.61"/>
    <n v="9"/>
    <x v="1"/>
    <s v="A+"/>
    <x v="5"/>
    <s v="Referred"/>
  </r>
  <r>
    <x v="899"/>
    <s v="2025-09-11"/>
    <x v="38"/>
    <x v="0"/>
    <x v="5"/>
    <s v="Dr. Meera"/>
    <x v="4"/>
    <n v="49195.32"/>
    <n v="13"/>
    <x v="1"/>
    <s v="AB+"/>
    <x v="5"/>
    <s v="Under Treatment"/>
  </r>
  <r>
    <x v="900"/>
    <s v="2025-06-10"/>
    <x v="87"/>
    <x v="0"/>
    <x v="2"/>
    <s v="Dr. Anil"/>
    <x v="4"/>
    <n v="2872.52"/>
    <n v="9"/>
    <x v="1"/>
    <s v="B-"/>
    <x v="4"/>
    <s v="Under Treatment"/>
  </r>
  <r>
    <x v="901"/>
    <s v="2026-02-06"/>
    <x v="25"/>
    <x v="0"/>
    <x v="4"/>
    <s v="Dr. Arun"/>
    <x v="4"/>
    <n v="111467.41"/>
    <n v="6"/>
    <x v="1"/>
    <s v="A-"/>
    <x v="3"/>
    <s v="Referred"/>
  </r>
  <r>
    <x v="902"/>
    <s v="2026-03-27"/>
    <x v="51"/>
    <x v="0"/>
    <x v="2"/>
    <s v="Dr. Priya"/>
    <x v="1"/>
    <n v="32688.61"/>
    <n v="10"/>
    <x v="1"/>
    <s v="A+"/>
    <x v="1"/>
    <s v="Under Treatment"/>
  </r>
  <r>
    <x v="903"/>
    <s v="2025-07-11"/>
    <x v="55"/>
    <x v="0"/>
    <x v="4"/>
    <s v="Dr. Priya"/>
    <x v="4"/>
    <n v="144604.51999999999"/>
    <n v="6"/>
    <x v="1"/>
    <s v="AB-"/>
    <x v="0"/>
    <s v="Under Treatment"/>
  </r>
  <r>
    <x v="904"/>
    <s v="2025-12-27"/>
    <x v="23"/>
    <x v="1"/>
    <x v="3"/>
    <s v="Dr. Priya"/>
    <x v="5"/>
    <n v="19981.599999999999"/>
    <n v="18"/>
    <x v="0"/>
    <s v="A+"/>
    <x v="1"/>
    <s v="Under Treatment"/>
  </r>
  <r>
    <x v="905"/>
    <s v="2025-05-23"/>
    <x v="26"/>
    <x v="1"/>
    <x v="2"/>
    <s v="Dr. Arun"/>
    <x v="4"/>
    <n v="139683.78"/>
    <n v="10"/>
    <x v="0"/>
    <s v="AB-"/>
    <x v="3"/>
    <s v="Under Treatment"/>
  </r>
  <r>
    <x v="906"/>
    <s v="2025-04-13"/>
    <x v="73"/>
    <x v="1"/>
    <x v="0"/>
    <s v="Dr. Rahul"/>
    <x v="5"/>
    <n v="21855.52"/>
    <n v="1"/>
    <x v="0"/>
    <s v="B-"/>
    <x v="5"/>
    <s v="Referred"/>
  </r>
  <r>
    <x v="907"/>
    <s v="2026-03-14"/>
    <x v="63"/>
    <x v="0"/>
    <x v="5"/>
    <s v="Dr. Rahul"/>
    <x v="0"/>
    <n v="77323.100000000006"/>
    <n v="1"/>
    <x v="0"/>
    <s v="O-"/>
    <x v="2"/>
    <s v="Under Treatment"/>
  </r>
  <r>
    <x v="908"/>
    <s v="2025-07-04"/>
    <x v="43"/>
    <x v="1"/>
    <x v="2"/>
    <s v="Dr. Meera"/>
    <x v="0"/>
    <n v="125691.43"/>
    <n v="12"/>
    <x v="0"/>
    <s v="AB+"/>
    <x v="1"/>
    <s v="Recovered"/>
  </r>
  <r>
    <x v="909"/>
    <s v="2026-01-18"/>
    <x v="49"/>
    <x v="1"/>
    <x v="5"/>
    <s v="Dr. Rahul"/>
    <x v="3"/>
    <n v="54298.41"/>
    <n v="20"/>
    <x v="1"/>
    <s v="A+"/>
    <x v="3"/>
    <s v="Recovered"/>
  </r>
  <r>
    <x v="910"/>
    <s v="2026-06-09"/>
    <x v="31"/>
    <x v="1"/>
    <x v="1"/>
    <s v="Dr. Meera"/>
    <x v="1"/>
    <n v="104018.36"/>
    <n v="7"/>
    <x v="1"/>
    <s v="AB+"/>
    <x v="2"/>
    <s v="Recovered"/>
  </r>
  <r>
    <x v="911"/>
    <s v="2026-01-16"/>
    <x v="25"/>
    <x v="1"/>
    <x v="1"/>
    <s v="Dr. Meera"/>
    <x v="0"/>
    <n v="9008.83"/>
    <n v="14"/>
    <x v="0"/>
    <s v="O+"/>
    <x v="4"/>
    <s v="Recovered"/>
  </r>
  <r>
    <x v="912"/>
    <s v="2026-02-15"/>
    <x v="44"/>
    <x v="0"/>
    <x v="0"/>
    <s v="Dr. Nisha"/>
    <x v="1"/>
    <n v="102887.67999999999"/>
    <n v="3"/>
    <x v="1"/>
    <s v="A+"/>
    <x v="3"/>
    <s v="Recovered"/>
  </r>
  <r>
    <x v="913"/>
    <s v="2025-10-06"/>
    <x v="31"/>
    <x v="1"/>
    <x v="2"/>
    <s v="Dr. Meera"/>
    <x v="3"/>
    <n v="77431.44"/>
    <n v="19"/>
    <x v="0"/>
    <s v="B-"/>
    <x v="3"/>
    <s v="Under Treatment"/>
  </r>
  <r>
    <x v="914"/>
    <s v="2025-08-29"/>
    <x v="87"/>
    <x v="0"/>
    <x v="4"/>
    <s v="Dr. Anil"/>
    <x v="4"/>
    <n v="46134.75"/>
    <n v="5"/>
    <x v="0"/>
    <s v="AB-"/>
    <x v="3"/>
    <s v="Referred"/>
  </r>
  <r>
    <x v="915"/>
    <s v="2026-04-14"/>
    <x v="82"/>
    <x v="1"/>
    <x v="5"/>
    <s v="Dr. Meera"/>
    <x v="1"/>
    <n v="73912.95"/>
    <n v="19"/>
    <x v="0"/>
    <s v="B-"/>
    <x v="2"/>
    <s v="Referred"/>
  </r>
  <r>
    <x v="916"/>
    <s v="2026-06-07"/>
    <x v="38"/>
    <x v="0"/>
    <x v="0"/>
    <s v="Dr. Priya"/>
    <x v="5"/>
    <n v="69819.839999999997"/>
    <n v="14"/>
    <x v="1"/>
    <s v="O+"/>
    <x v="3"/>
    <s v="Recovered"/>
  </r>
  <r>
    <x v="917"/>
    <s v="2025-09-14"/>
    <x v="5"/>
    <x v="1"/>
    <x v="0"/>
    <s v="Dr. Meera"/>
    <x v="0"/>
    <n v="42559.85"/>
    <n v="5"/>
    <x v="0"/>
    <s v="O-"/>
    <x v="4"/>
    <s v="Recovered"/>
  </r>
  <r>
    <x v="918"/>
    <s v="2025-11-21"/>
    <x v="13"/>
    <x v="1"/>
    <x v="3"/>
    <s v="Dr. Anil"/>
    <x v="2"/>
    <n v="58108.57"/>
    <n v="7"/>
    <x v="1"/>
    <s v="O+"/>
    <x v="2"/>
    <s v="Recovered"/>
  </r>
  <r>
    <x v="919"/>
    <s v="2025-10-14"/>
    <x v="75"/>
    <x v="1"/>
    <x v="1"/>
    <s v="Dr. Meera"/>
    <x v="4"/>
    <n v="31522.39"/>
    <n v="2"/>
    <x v="1"/>
    <s v="B-"/>
    <x v="4"/>
    <s v="Recovered"/>
  </r>
  <r>
    <x v="920"/>
    <s v="2026-05-24"/>
    <x v="86"/>
    <x v="0"/>
    <x v="2"/>
    <s v="Dr. Rahul"/>
    <x v="0"/>
    <n v="80184.84"/>
    <n v="12"/>
    <x v="1"/>
    <s v="B+"/>
    <x v="3"/>
    <s v="Recovered"/>
  </r>
  <r>
    <x v="921"/>
    <s v="2025-12-29"/>
    <x v="78"/>
    <x v="1"/>
    <x v="1"/>
    <s v="Dr. Arun"/>
    <x v="5"/>
    <n v="20212.77"/>
    <n v="9"/>
    <x v="1"/>
    <s v="O+"/>
    <x v="1"/>
    <s v="Referred"/>
  </r>
  <r>
    <x v="922"/>
    <s v="2025-10-21"/>
    <x v="0"/>
    <x v="1"/>
    <x v="1"/>
    <s v="Dr. Arun"/>
    <x v="4"/>
    <n v="66186.600000000006"/>
    <n v="14"/>
    <x v="0"/>
    <s v="B-"/>
    <x v="5"/>
    <s v="Under Treatment"/>
  </r>
  <r>
    <x v="923"/>
    <s v="2025-06-30"/>
    <x v="78"/>
    <x v="0"/>
    <x v="5"/>
    <s v="Dr. Nisha"/>
    <x v="2"/>
    <n v="101664.38"/>
    <n v="11"/>
    <x v="1"/>
    <s v="O+"/>
    <x v="5"/>
    <s v="Recovered"/>
  </r>
  <r>
    <x v="924"/>
    <s v="2025-09-24"/>
    <x v="80"/>
    <x v="1"/>
    <x v="1"/>
    <s v="Dr. Priya"/>
    <x v="1"/>
    <n v="146304.69"/>
    <n v="8"/>
    <x v="0"/>
    <s v="O+"/>
    <x v="3"/>
    <s v="Referred"/>
  </r>
  <r>
    <x v="925"/>
    <s v="2025-05-18"/>
    <x v="56"/>
    <x v="1"/>
    <x v="3"/>
    <s v="Dr. Rahul"/>
    <x v="3"/>
    <n v="24254.37"/>
    <n v="8"/>
    <x v="1"/>
    <s v="O+"/>
    <x v="5"/>
    <s v="Recovered"/>
  </r>
  <r>
    <x v="926"/>
    <s v="2025-05-16"/>
    <x v="63"/>
    <x v="0"/>
    <x v="2"/>
    <s v="Dr. Rahul"/>
    <x v="4"/>
    <n v="106634.15"/>
    <n v="13"/>
    <x v="0"/>
    <s v="A+"/>
    <x v="5"/>
    <s v="Recovered"/>
  </r>
  <r>
    <x v="927"/>
    <s v="2026-05-13"/>
    <x v="43"/>
    <x v="1"/>
    <x v="2"/>
    <s v="Dr. Meera"/>
    <x v="0"/>
    <n v="103130"/>
    <n v="18"/>
    <x v="1"/>
    <s v="O+"/>
    <x v="0"/>
    <s v="Under Treatment"/>
  </r>
  <r>
    <x v="928"/>
    <s v="2026-01-01"/>
    <x v="2"/>
    <x v="1"/>
    <x v="2"/>
    <s v="Dr. Nisha"/>
    <x v="4"/>
    <n v="37257.699999999997"/>
    <n v="13"/>
    <x v="1"/>
    <s v="B+"/>
    <x v="2"/>
    <s v="Recovered"/>
  </r>
  <r>
    <x v="929"/>
    <s v="2025-12-16"/>
    <x v="69"/>
    <x v="1"/>
    <x v="1"/>
    <s v="Dr. Nisha"/>
    <x v="2"/>
    <n v="90454.77"/>
    <n v="6"/>
    <x v="1"/>
    <s v="O-"/>
    <x v="0"/>
    <s v="Recovered"/>
  </r>
  <r>
    <x v="930"/>
    <s v="2025-11-18"/>
    <x v="29"/>
    <x v="0"/>
    <x v="4"/>
    <s v="Dr. Anil"/>
    <x v="2"/>
    <n v="65091.85"/>
    <n v="2"/>
    <x v="1"/>
    <s v="A+"/>
    <x v="1"/>
    <s v="Recovered"/>
  </r>
  <r>
    <x v="931"/>
    <s v="2025-12-06"/>
    <x v="58"/>
    <x v="0"/>
    <x v="1"/>
    <s v="Dr. Arun"/>
    <x v="2"/>
    <n v="112959.61"/>
    <n v="19"/>
    <x v="1"/>
    <s v="O-"/>
    <x v="4"/>
    <s v="Recovered"/>
  </r>
  <r>
    <x v="932"/>
    <s v="2025-10-10"/>
    <x v="43"/>
    <x v="0"/>
    <x v="3"/>
    <s v="Dr. Nisha"/>
    <x v="1"/>
    <n v="26314.23"/>
    <n v="4"/>
    <x v="1"/>
    <s v="AB+"/>
    <x v="4"/>
    <s v="Recovered"/>
  </r>
  <r>
    <x v="933"/>
    <s v="2025-05-14"/>
    <x v="71"/>
    <x v="0"/>
    <x v="5"/>
    <s v="Dr. Arun"/>
    <x v="4"/>
    <n v="76098.62"/>
    <n v="6"/>
    <x v="0"/>
    <s v="O+"/>
    <x v="0"/>
    <s v="Referred"/>
  </r>
  <r>
    <x v="934"/>
    <s v="2025-05-26"/>
    <x v="32"/>
    <x v="0"/>
    <x v="0"/>
    <s v="Dr. Anil"/>
    <x v="0"/>
    <n v="57367.98"/>
    <n v="9"/>
    <x v="0"/>
    <s v="O+"/>
    <x v="2"/>
    <s v="Recovered"/>
  </r>
  <r>
    <x v="935"/>
    <s v="2025-06-29"/>
    <x v="18"/>
    <x v="0"/>
    <x v="2"/>
    <s v="Dr. Arun"/>
    <x v="5"/>
    <n v="46166.2"/>
    <n v="14"/>
    <x v="1"/>
    <s v="AB+"/>
    <x v="5"/>
    <s v="Referred"/>
  </r>
  <r>
    <x v="936"/>
    <s v="2025-11-12"/>
    <x v="12"/>
    <x v="1"/>
    <x v="3"/>
    <s v="Dr. Meera"/>
    <x v="1"/>
    <n v="134639.24"/>
    <n v="11"/>
    <x v="1"/>
    <s v="A+"/>
    <x v="2"/>
    <s v="Recovered"/>
  </r>
  <r>
    <x v="937"/>
    <s v="2025-06-10"/>
    <x v="7"/>
    <x v="1"/>
    <x v="3"/>
    <s v="Dr. Anil"/>
    <x v="1"/>
    <n v="117234.52"/>
    <n v="18"/>
    <x v="1"/>
    <s v="A+"/>
    <x v="0"/>
    <s v="Referred"/>
  </r>
  <r>
    <x v="938"/>
    <s v="2025-01-21"/>
    <x v="50"/>
    <x v="0"/>
    <x v="2"/>
    <s v="Dr. Rahul"/>
    <x v="0"/>
    <n v="22433.13"/>
    <n v="16"/>
    <x v="1"/>
    <s v="O-"/>
    <x v="2"/>
    <s v="Under Treatment"/>
  </r>
  <r>
    <x v="939"/>
    <s v="2025-12-14"/>
    <x v="58"/>
    <x v="1"/>
    <x v="3"/>
    <s v="Dr. Arun"/>
    <x v="1"/>
    <n v="119637.25"/>
    <n v="13"/>
    <x v="1"/>
    <s v="B+"/>
    <x v="3"/>
    <s v="Recovered"/>
  </r>
  <r>
    <x v="940"/>
    <s v="2025-04-28"/>
    <x v="11"/>
    <x v="1"/>
    <x v="5"/>
    <s v="Dr. Anil"/>
    <x v="2"/>
    <n v="75371.789999999994"/>
    <n v="3"/>
    <x v="1"/>
    <s v="O+"/>
    <x v="3"/>
    <s v="Under Treatment"/>
  </r>
  <r>
    <x v="941"/>
    <s v="2025-06-28"/>
    <x v="44"/>
    <x v="0"/>
    <x v="1"/>
    <s v="Dr. Priya"/>
    <x v="1"/>
    <n v="42247.01"/>
    <n v="9"/>
    <x v="1"/>
    <s v="A-"/>
    <x v="3"/>
    <s v="Recovered"/>
  </r>
  <r>
    <x v="942"/>
    <s v="2025-11-14"/>
    <x v="22"/>
    <x v="1"/>
    <x v="0"/>
    <s v="Dr. Arun"/>
    <x v="5"/>
    <n v="132950.10999999999"/>
    <n v="19"/>
    <x v="1"/>
    <s v="O+"/>
    <x v="2"/>
    <s v="Recovered"/>
  </r>
  <r>
    <x v="943"/>
    <s v="2025-06-30"/>
    <x v="10"/>
    <x v="0"/>
    <x v="5"/>
    <s v="Dr. Arun"/>
    <x v="4"/>
    <n v="49747.11"/>
    <n v="1"/>
    <x v="0"/>
    <s v="AB-"/>
    <x v="0"/>
    <s v="Referred"/>
  </r>
  <r>
    <x v="944"/>
    <s v="2025-10-30"/>
    <x v="39"/>
    <x v="0"/>
    <x v="3"/>
    <s v="Dr. Nisha"/>
    <x v="3"/>
    <n v="69341.02"/>
    <n v="4"/>
    <x v="0"/>
    <s v="B+"/>
    <x v="3"/>
    <s v="Under Treatment"/>
  </r>
  <r>
    <x v="945"/>
    <s v="2025-06-04"/>
    <x v="64"/>
    <x v="0"/>
    <x v="3"/>
    <s v="Dr. Meera"/>
    <x v="1"/>
    <n v="88255.3"/>
    <n v="2"/>
    <x v="1"/>
    <s v="B-"/>
    <x v="4"/>
    <s v="Referred"/>
  </r>
  <r>
    <x v="946"/>
    <s v="2025-12-18"/>
    <x v="38"/>
    <x v="0"/>
    <x v="3"/>
    <s v="Dr. Nisha"/>
    <x v="3"/>
    <n v="40121.449999999997"/>
    <n v="4"/>
    <x v="0"/>
    <s v="AB-"/>
    <x v="0"/>
    <s v="Under Treatment"/>
  </r>
  <r>
    <x v="947"/>
    <s v="2025-03-18"/>
    <x v="46"/>
    <x v="0"/>
    <x v="2"/>
    <s v="Dr. Arun"/>
    <x v="4"/>
    <n v="70293.83"/>
    <n v="19"/>
    <x v="1"/>
    <s v="O+"/>
    <x v="2"/>
    <s v="Recovered"/>
  </r>
  <r>
    <x v="948"/>
    <s v="2026-01-13"/>
    <x v="23"/>
    <x v="0"/>
    <x v="2"/>
    <s v="Dr. Rahul"/>
    <x v="4"/>
    <n v="102630.94"/>
    <n v="15"/>
    <x v="0"/>
    <s v="A+"/>
    <x v="0"/>
    <s v="Under Treatment"/>
  </r>
  <r>
    <x v="949"/>
    <s v="2025-11-02"/>
    <x v="27"/>
    <x v="0"/>
    <x v="4"/>
    <s v="Dr. Nisha"/>
    <x v="4"/>
    <n v="104382.21"/>
    <n v="18"/>
    <x v="0"/>
    <s v="AB-"/>
    <x v="5"/>
    <s v="Referred"/>
  </r>
  <r>
    <x v="950"/>
    <s v="2025-09-16"/>
    <x v="87"/>
    <x v="1"/>
    <x v="0"/>
    <s v="Dr. Arun"/>
    <x v="3"/>
    <n v="9071.7199999999993"/>
    <n v="15"/>
    <x v="0"/>
    <s v="O+"/>
    <x v="3"/>
    <s v="Recovered"/>
  </r>
  <r>
    <x v="951"/>
    <s v="2025-02-27"/>
    <x v="76"/>
    <x v="0"/>
    <x v="5"/>
    <s v="Dr. Rahul"/>
    <x v="1"/>
    <n v="20618.84"/>
    <n v="15"/>
    <x v="1"/>
    <s v="O-"/>
    <x v="4"/>
    <s v="Under Treatment"/>
  </r>
  <r>
    <x v="952"/>
    <s v="2026-03-30"/>
    <x v="40"/>
    <x v="1"/>
    <x v="4"/>
    <s v="Dr. Priya"/>
    <x v="3"/>
    <n v="51466.38"/>
    <n v="19"/>
    <x v="1"/>
    <s v="B+"/>
    <x v="3"/>
    <s v="Under Treatment"/>
  </r>
  <r>
    <x v="953"/>
    <s v="2026-05-26"/>
    <x v="44"/>
    <x v="1"/>
    <x v="4"/>
    <s v="Dr. Rahul"/>
    <x v="3"/>
    <n v="126017.05"/>
    <n v="2"/>
    <x v="1"/>
    <s v="AB+"/>
    <x v="5"/>
    <s v="Under Treatment"/>
  </r>
  <r>
    <x v="954"/>
    <s v="2025-05-14"/>
    <x v="5"/>
    <x v="1"/>
    <x v="4"/>
    <s v="Dr. Rahul"/>
    <x v="0"/>
    <n v="116777.09"/>
    <n v="17"/>
    <x v="1"/>
    <s v="A-"/>
    <x v="4"/>
    <s v="Referred"/>
  </r>
  <r>
    <x v="955"/>
    <s v="2026-03-23"/>
    <x v="88"/>
    <x v="0"/>
    <x v="1"/>
    <s v="Dr. Priya"/>
    <x v="5"/>
    <n v="72021.960000000006"/>
    <n v="12"/>
    <x v="0"/>
    <s v="A-"/>
    <x v="0"/>
    <s v="Referred"/>
  </r>
  <r>
    <x v="956"/>
    <s v="2025-07-15"/>
    <x v="66"/>
    <x v="0"/>
    <x v="3"/>
    <s v="Dr. Rahul"/>
    <x v="5"/>
    <n v="122668.02"/>
    <n v="4"/>
    <x v="1"/>
    <s v="B-"/>
    <x v="4"/>
    <s v="Under Treatment"/>
  </r>
  <r>
    <x v="957"/>
    <s v="2026-05-07"/>
    <x v="26"/>
    <x v="1"/>
    <x v="0"/>
    <s v="Dr. Priya"/>
    <x v="0"/>
    <n v="91738.72"/>
    <n v="19"/>
    <x v="1"/>
    <s v="A-"/>
    <x v="3"/>
    <s v="Recovered"/>
  </r>
  <r>
    <x v="958"/>
    <s v="2026-01-25"/>
    <x v="84"/>
    <x v="0"/>
    <x v="4"/>
    <s v="Dr. Meera"/>
    <x v="1"/>
    <n v="92878.399999999994"/>
    <n v="11"/>
    <x v="0"/>
    <s v="O+"/>
    <x v="2"/>
    <s v="Under Treatment"/>
  </r>
  <r>
    <x v="959"/>
    <s v="2025-11-22"/>
    <x v="87"/>
    <x v="0"/>
    <x v="0"/>
    <s v="Dr. Rahul"/>
    <x v="0"/>
    <n v="95130.75"/>
    <n v="17"/>
    <x v="1"/>
    <s v="O+"/>
    <x v="2"/>
    <s v="Under Treatment"/>
  </r>
  <r>
    <x v="960"/>
    <s v="2025-03-25"/>
    <x v="65"/>
    <x v="1"/>
    <x v="5"/>
    <s v="Dr. Nisha"/>
    <x v="2"/>
    <n v="10985.37"/>
    <n v="8"/>
    <x v="1"/>
    <s v="O-"/>
    <x v="0"/>
    <s v="Under Treatment"/>
  </r>
  <r>
    <x v="961"/>
    <s v="2025-09-03"/>
    <x v="47"/>
    <x v="0"/>
    <x v="0"/>
    <s v="Dr. Priya"/>
    <x v="5"/>
    <n v="71622.81"/>
    <n v="14"/>
    <x v="0"/>
    <s v="A-"/>
    <x v="1"/>
    <s v="Under Treatment"/>
  </r>
  <r>
    <x v="962"/>
    <s v="2026-06-12"/>
    <x v="62"/>
    <x v="1"/>
    <x v="2"/>
    <s v="Dr. Meera"/>
    <x v="5"/>
    <n v="67945.7"/>
    <n v="8"/>
    <x v="0"/>
    <s v="AB+"/>
    <x v="3"/>
    <s v="Recovered"/>
  </r>
  <r>
    <x v="963"/>
    <s v="2025-04-19"/>
    <x v="63"/>
    <x v="0"/>
    <x v="3"/>
    <s v="Dr. Nisha"/>
    <x v="2"/>
    <n v="7433.33"/>
    <n v="18"/>
    <x v="1"/>
    <s v="O-"/>
    <x v="4"/>
    <s v="Referred"/>
  </r>
  <r>
    <x v="964"/>
    <s v="2025-02-07"/>
    <x v="39"/>
    <x v="0"/>
    <x v="0"/>
    <s v="Dr. Arun"/>
    <x v="4"/>
    <n v="131309.37"/>
    <n v="19"/>
    <x v="1"/>
    <s v="AB+"/>
    <x v="0"/>
    <s v="Referred"/>
  </r>
  <r>
    <x v="965"/>
    <s v="2025-07-09"/>
    <x v="16"/>
    <x v="1"/>
    <x v="4"/>
    <s v="Dr. Priya"/>
    <x v="5"/>
    <n v="83478.570000000007"/>
    <n v="7"/>
    <x v="1"/>
    <s v="A+"/>
    <x v="4"/>
    <s v="Recovered"/>
  </r>
  <r>
    <x v="966"/>
    <s v="2025-07-03"/>
    <x v="76"/>
    <x v="1"/>
    <x v="4"/>
    <s v="Dr. Priya"/>
    <x v="1"/>
    <n v="20601.759999999998"/>
    <n v="18"/>
    <x v="1"/>
    <s v="AB-"/>
    <x v="3"/>
    <s v="Referred"/>
  </r>
  <r>
    <x v="967"/>
    <s v="2025-03-12"/>
    <x v="4"/>
    <x v="0"/>
    <x v="3"/>
    <s v="Dr. Nisha"/>
    <x v="3"/>
    <n v="106300.51"/>
    <n v="12"/>
    <x v="1"/>
    <s v="AB-"/>
    <x v="3"/>
    <s v="Referred"/>
  </r>
  <r>
    <x v="968"/>
    <s v="2025-11-17"/>
    <x v="83"/>
    <x v="1"/>
    <x v="4"/>
    <s v="Dr. Arun"/>
    <x v="0"/>
    <n v="35434.89"/>
    <n v="1"/>
    <x v="1"/>
    <s v="A+"/>
    <x v="5"/>
    <s v="Under Treatment"/>
  </r>
  <r>
    <x v="969"/>
    <s v="2026-02-06"/>
    <x v="82"/>
    <x v="1"/>
    <x v="3"/>
    <s v="Dr. Priya"/>
    <x v="4"/>
    <n v="148685.78"/>
    <n v="4"/>
    <x v="0"/>
    <s v="A-"/>
    <x v="5"/>
    <s v="Referred"/>
  </r>
  <r>
    <x v="970"/>
    <s v="2026-03-07"/>
    <x v="19"/>
    <x v="0"/>
    <x v="3"/>
    <s v="Dr. Meera"/>
    <x v="5"/>
    <n v="134982.15"/>
    <n v="16"/>
    <x v="1"/>
    <s v="A+"/>
    <x v="1"/>
    <s v="Referred"/>
  </r>
  <r>
    <x v="971"/>
    <s v="2026-06-08"/>
    <x v="51"/>
    <x v="0"/>
    <x v="5"/>
    <s v="Dr. Arun"/>
    <x v="4"/>
    <n v="64790.99"/>
    <n v="16"/>
    <x v="0"/>
    <s v="O+"/>
    <x v="0"/>
    <s v="Recovered"/>
  </r>
  <r>
    <x v="972"/>
    <s v="2026-02-21"/>
    <x v="48"/>
    <x v="0"/>
    <x v="5"/>
    <s v="Dr. Anil"/>
    <x v="1"/>
    <n v="3404.45"/>
    <n v="16"/>
    <x v="0"/>
    <s v="B+"/>
    <x v="5"/>
    <s v="Under Treatment"/>
  </r>
  <r>
    <x v="973"/>
    <s v="2025-02-13"/>
    <x v="34"/>
    <x v="0"/>
    <x v="4"/>
    <s v="Dr. Priya"/>
    <x v="1"/>
    <n v="69643.350000000006"/>
    <n v="3"/>
    <x v="0"/>
    <s v="B+"/>
    <x v="0"/>
    <s v="Recovered"/>
  </r>
  <r>
    <x v="974"/>
    <s v="2026-04-02"/>
    <x v="73"/>
    <x v="0"/>
    <x v="0"/>
    <s v="Dr. Anil"/>
    <x v="3"/>
    <n v="55225.95"/>
    <n v="1"/>
    <x v="1"/>
    <s v="A-"/>
    <x v="5"/>
    <s v="Referred"/>
  </r>
  <r>
    <x v="975"/>
    <s v="2025-04-26"/>
    <x v="87"/>
    <x v="1"/>
    <x v="2"/>
    <s v="Dr. Anil"/>
    <x v="2"/>
    <n v="129524"/>
    <n v="1"/>
    <x v="0"/>
    <s v="O+"/>
    <x v="5"/>
    <s v="Under Treatment"/>
  </r>
  <r>
    <x v="976"/>
    <s v="2025-03-20"/>
    <x v="1"/>
    <x v="0"/>
    <x v="1"/>
    <s v="Dr. Meera"/>
    <x v="5"/>
    <n v="143730.76"/>
    <n v="16"/>
    <x v="1"/>
    <s v="O-"/>
    <x v="0"/>
    <s v="Under Treatment"/>
  </r>
  <r>
    <x v="977"/>
    <s v="2026-04-17"/>
    <x v="9"/>
    <x v="0"/>
    <x v="0"/>
    <s v="Dr. Meera"/>
    <x v="4"/>
    <n v="88209.11"/>
    <n v="7"/>
    <x v="0"/>
    <s v="A+"/>
    <x v="5"/>
    <s v="Under Treatment"/>
  </r>
  <r>
    <x v="978"/>
    <s v="2026-02-21"/>
    <x v="16"/>
    <x v="0"/>
    <x v="2"/>
    <s v="Dr. Meera"/>
    <x v="1"/>
    <n v="38449.410000000003"/>
    <n v="3"/>
    <x v="1"/>
    <s v="O+"/>
    <x v="0"/>
    <s v="Recovered"/>
  </r>
  <r>
    <x v="979"/>
    <s v="2025-12-30"/>
    <x v="7"/>
    <x v="1"/>
    <x v="3"/>
    <s v="Dr. Anil"/>
    <x v="2"/>
    <n v="73061.56"/>
    <n v="1"/>
    <x v="0"/>
    <s v="B-"/>
    <x v="0"/>
    <s v="Referred"/>
  </r>
  <r>
    <x v="980"/>
    <s v="2026-04-14"/>
    <x v="38"/>
    <x v="1"/>
    <x v="1"/>
    <s v="Dr. Priya"/>
    <x v="3"/>
    <n v="24956.01"/>
    <n v="4"/>
    <x v="0"/>
    <s v="AB+"/>
    <x v="1"/>
    <s v="Recovered"/>
  </r>
  <r>
    <x v="981"/>
    <s v="2025-11-18"/>
    <x v="31"/>
    <x v="0"/>
    <x v="3"/>
    <s v="Dr. Meera"/>
    <x v="1"/>
    <n v="14098.38"/>
    <n v="3"/>
    <x v="0"/>
    <s v="O-"/>
    <x v="0"/>
    <s v="Recovered"/>
  </r>
  <r>
    <x v="982"/>
    <s v="2026-01-02"/>
    <x v="77"/>
    <x v="0"/>
    <x v="3"/>
    <s v="Dr. Anil"/>
    <x v="2"/>
    <n v="103805.49"/>
    <n v="16"/>
    <x v="1"/>
    <s v="B+"/>
    <x v="3"/>
    <s v="Recovered"/>
  </r>
  <r>
    <x v="983"/>
    <s v="2026-05-20"/>
    <x v="68"/>
    <x v="0"/>
    <x v="1"/>
    <s v="Dr. Priya"/>
    <x v="0"/>
    <n v="5118.67"/>
    <n v="11"/>
    <x v="1"/>
    <s v="B+"/>
    <x v="2"/>
    <s v="Recovered"/>
  </r>
  <r>
    <x v="984"/>
    <s v="2025-04-04"/>
    <x v="88"/>
    <x v="0"/>
    <x v="5"/>
    <s v="Dr. Priya"/>
    <x v="3"/>
    <n v="113822.43"/>
    <n v="6"/>
    <x v="0"/>
    <s v="AB+"/>
    <x v="2"/>
    <s v="Recovered"/>
  </r>
  <r>
    <x v="985"/>
    <s v="2026-04-28"/>
    <x v="66"/>
    <x v="1"/>
    <x v="4"/>
    <s v="Dr. Meera"/>
    <x v="0"/>
    <n v="64075.05"/>
    <n v="20"/>
    <x v="1"/>
    <s v="AB-"/>
    <x v="1"/>
    <s v="Referred"/>
  </r>
  <r>
    <x v="986"/>
    <s v="2025-04-28"/>
    <x v="75"/>
    <x v="0"/>
    <x v="3"/>
    <s v="Dr. Meera"/>
    <x v="1"/>
    <n v="3274.6"/>
    <n v="19"/>
    <x v="0"/>
    <s v="A-"/>
    <x v="0"/>
    <s v="Referred"/>
  </r>
  <r>
    <x v="987"/>
    <s v="2025-04-02"/>
    <x v="8"/>
    <x v="0"/>
    <x v="0"/>
    <s v="Dr. Nisha"/>
    <x v="0"/>
    <n v="106537.54"/>
    <n v="9"/>
    <x v="1"/>
    <s v="AB-"/>
    <x v="4"/>
    <s v="Under Treatment"/>
  </r>
  <r>
    <x v="988"/>
    <s v="2026-02-23"/>
    <x v="69"/>
    <x v="0"/>
    <x v="5"/>
    <s v="Dr. Nisha"/>
    <x v="1"/>
    <n v="24810.400000000001"/>
    <n v="17"/>
    <x v="1"/>
    <s v="A+"/>
    <x v="1"/>
    <s v="Recovered"/>
  </r>
  <r>
    <x v="989"/>
    <s v="2026-03-29"/>
    <x v="46"/>
    <x v="0"/>
    <x v="4"/>
    <s v="Dr. Anil"/>
    <x v="2"/>
    <n v="33674.1"/>
    <n v="12"/>
    <x v="0"/>
    <s v="O+"/>
    <x v="4"/>
    <s v="Recovered"/>
  </r>
  <r>
    <x v="990"/>
    <s v="2025-04-21"/>
    <x v="2"/>
    <x v="0"/>
    <x v="3"/>
    <s v="Dr. Priya"/>
    <x v="0"/>
    <n v="37425.620000000003"/>
    <n v="15"/>
    <x v="0"/>
    <s v="O-"/>
    <x v="5"/>
    <s v="Under Treatment"/>
  </r>
  <r>
    <x v="991"/>
    <s v="2026-02-13"/>
    <x v="66"/>
    <x v="0"/>
    <x v="5"/>
    <s v="Dr. Anil"/>
    <x v="0"/>
    <n v="74144.72"/>
    <n v="8"/>
    <x v="1"/>
    <s v="O+"/>
    <x v="4"/>
    <s v="Under Treatment"/>
  </r>
  <r>
    <x v="992"/>
    <s v="2025-11-15"/>
    <x v="15"/>
    <x v="1"/>
    <x v="5"/>
    <s v="Dr. Meera"/>
    <x v="5"/>
    <n v="35824.51"/>
    <n v="18"/>
    <x v="1"/>
    <s v="AB-"/>
    <x v="0"/>
    <s v="Under Treatment"/>
  </r>
  <r>
    <x v="993"/>
    <s v="2026-03-27"/>
    <x v="55"/>
    <x v="1"/>
    <x v="3"/>
    <s v="Dr. Arun"/>
    <x v="4"/>
    <n v="127735.26"/>
    <n v="12"/>
    <x v="1"/>
    <s v="O-"/>
    <x v="3"/>
    <s v="Under Treatment"/>
  </r>
  <r>
    <x v="994"/>
    <s v="2025-02-20"/>
    <x v="72"/>
    <x v="1"/>
    <x v="3"/>
    <s v="Dr. Meera"/>
    <x v="0"/>
    <n v="85194.52"/>
    <n v="12"/>
    <x v="0"/>
    <s v="B+"/>
    <x v="4"/>
    <s v="Under Treatment"/>
  </r>
  <r>
    <x v="995"/>
    <s v="2025-03-08"/>
    <x v="5"/>
    <x v="0"/>
    <x v="2"/>
    <s v="Dr. Arun"/>
    <x v="5"/>
    <n v="16419.46"/>
    <n v="19"/>
    <x v="0"/>
    <s v="O+"/>
    <x v="5"/>
    <s v="Under Treatment"/>
  </r>
  <r>
    <x v="996"/>
    <s v="2026-04-21"/>
    <x v="48"/>
    <x v="1"/>
    <x v="1"/>
    <s v="Dr. Arun"/>
    <x v="2"/>
    <n v="8846.02"/>
    <n v="4"/>
    <x v="1"/>
    <s v="AB+"/>
    <x v="1"/>
    <s v="Referred"/>
  </r>
  <r>
    <x v="997"/>
    <s v="2026-01-09"/>
    <x v="89"/>
    <x v="1"/>
    <x v="4"/>
    <s v="Dr. Arun"/>
    <x v="4"/>
    <n v="19680.14"/>
    <n v="15"/>
    <x v="0"/>
    <s v="B+"/>
    <x v="2"/>
    <s v="Under Treatment"/>
  </r>
  <r>
    <x v="998"/>
    <s v="2026-05-14"/>
    <x v="83"/>
    <x v="0"/>
    <x v="2"/>
    <s v="Dr. Anil"/>
    <x v="4"/>
    <n v="68988.14"/>
    <n v="14"/>
    <x v="1"/>
    <s v="O+"/>
    <x v="4"/>
    <s v="Referred"/>
  </r>
  <r>
    <x v="999"/>
    <s v="2026-01-22"/>
    <x v="49"/>
    <x v="1"/>
    <x v="1"/>
    <s v="Dr. Rahul"/>
    <x v="1"/>
    <n v="143963.72"/>
    <n v="1"/>
    <x v="1"/>
    <s v="AB+"/>
    <x v="0"/>
    <s v="Recove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D9A534-B558-4A72-90D2-DEF7843E9E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9:B36"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axis="axisRow" showAll="0">
      <items count="7">
        <item x="4"/>
        <item x="2"/>
        <item x="1"/>
        <item x="0"/>
        <item x="5"/>
        <item x="3"/>
        <item t="default"/>
      </items>
    </pivotField>
    <pivotField showAll="0"/>
    <pivotField showAll="0">
      <items count="7">
        <item x="4"/>
        <item x="5"/>
        <item x="1"/>
        <item x="0"/>
        <item x="3"/>
        <item x="2"/>
        <item t="default"/>
      </items>
    </pivotField>
    <pivotField dataField="1" showAll="0"/>
    <pivotField showAll="0"/>
    <pivotField showAll="0"/>
    <pivotField showAll="0"/>
    <pivotField showAll="0">
      <items count="7">
        <item x="2"/>
        <item x="0"/>
        <item x="5"/>
        <item x="3"/>
        <item x="1"/>
        <item x="4"/>
        <item t="default"/>
      </items>
    </pivotField>
    <pivotField showAll="0"/>
  </pivotFields>
  <rowFields count="1">
    <field x="4"/>
  </rowFields>
  <rowItems count="7">
    <i>
      <x/>
    </i>
    <i>
      <x v="1"/>
    </i>
    <i>
      <x v="2"/>
    </i>
    <i>
      <x v="3"/>
    </i>
    <i>
      <x v="4"/>
    </i>
    <i>
      <x v="5"/>
    </i>
    <i t="grand">
      <x/>
    </i>
  </rowItems>
  <colItems count="1">
    <i/>
  </colItems>
  <dataFields count="1">
    <dataField name="Average of Treatment_Cost" fld="7" subtotal="average" baseField="4" baseItem="0" numFmtId="164"/>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9F0E6E-4527-4818-855F-B1AC9BE278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B26"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showAll="0">
      <items count="7">
        <item x="4"/>
        <item x="2"/>
        <item x="1"/>
        <item x="0"/>
        <item x="5"/>
        <item x="3"/>
        <item t="default"/>
      </items>
    </pivotField>
    <pivotField showAll="0"/>
    <pivotField axis="axisRow" showAll="0">
      <items count="7">
        <item x="4"/>
        <item x="5"/>
        <item x="1"/>
        <item x="0"/>
        <item x="3"/>
        <item x="2"/>
        <item t="default"/>
      </items>
    </pivotField>
    <pivotField showAll="0"/>
    <pivotField showAll="0"/>
    <pivotField showAll="0">
      <items count="3">
        <item x="1"/>
        <item x="0"/>
        <item t="default"/>
      </items>
    </pivotField>
    <pivotField showAll="0"/>
    <pivotField showAll="0">
      <items count="7">
        <item x="2"/>
        <item x="0"/>
        <item x="5"/>
        <item x="3"/>
        <item x="1"/>
        <item x="4"/>
        <item t="default"/>
      </items>
    </pivotField>
    <pivotField showAll="0"/>
  </pivotFields>
  <rowFields count="1">
    <field x="6"/>
  </rowFields>
  <rowItems count="7">
    <i>
      <x/>
    </i>
    <i>
      <x v="1"/>
    </i>
    <i>
      <x v="2"/>
    </i>
    <i>
      <x v="3"/>
    </i>
    <i>
      <x v="4"/>
    </i>
    <i>
      <x v="5"/>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E0E59E-5C98-4EC0-9666-9C9F48040BB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0:A101" firstHeaderRow="1" firstDataRow="1" firstDataCol="0"/>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dataField="1" showAll="0"/>
    <pivotField showAll="0">
      <items count="3">
        <item x="1"/>
        <item x="0"/>
        <item t="default"/>
      </items>
    </pivotField>
    <pivotField showAll="0">
      <items count="7">
        <item x="4"/>
        <item x="2"/>
        <item x="1"/>
        <item x="0"/>
        <item x="5"/>
        <item x="3"/>
        <item t="default"/>
      </items>
    </pivotField>
    <pivotField showAll="0"/>
    <pivotField showAll="0">
      <items count="7">
        <item x="4"/>
        <item x="5"/>
        <item x="1"/>
        <item x="0"/>
        <item x="3"/>
        <item x="2"/>
        <item t="default"/>
      </items>
    </pivotField>
    <pivotField showAll="0"/>
    <pivotField showAll="0"/>
    <pivotField showAll="0">
      <items count="3">
        <item x="1"/>
        <item x="0"/>
        <item t="default"/>
      </items>
    </pivotField>
    <pivotField showAll="0"/>
    <pivotField showAll="0">
      <items count="7">
        <item x="2"/>
        <item x="0"/>
        <item x="5"/>
        <item x="3"/>
        <item x="1"/>
        <item x="4"/>
        <item t="default"/>
      </items>
    </pivotField>
    <pivotField showAll="0"/>
  </pivotFields>
  <rowItems count="1">
    <i/>
  </rowItems>
  <colItems count="1">
    <i/>
  </colItems>
  <dataFields count="1">
    <dataField name="Average of Age" fld="2" subtotal="average"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A3BC99-5CAA-41F9-8365-F065D295414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1:A92" firstHeaderRow="1" firstDataRow="1" firstDataCol="0"/>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91">
        <item x="5"/>
        <item x="68"/>
        <item x="61"/>
        <item x="63"/>
        <item x="31"/>
        <item x="19"/>
        <item x="73"/>
        <item x="29"/>
        <item x="74"/>
        <item x="48"/>
        <item x="34"/>
        <item x="84"/>
        <item x="18"/>
        <item x="25"/>
        <item x="40"/>
        <item x="45"/>
        <item x="32"/>
        <item x="80"/>
        <item x="8"/>
        <item x="60"/>
        <item x="17"/>
        <item x="56"/>
        <item x="83"/>
        <item x="52"/>
        <item x="4"/>
        <item x="78"/>
        <item x="62"/>
        <item x="76"/>
        <item x="10"/>
        <item x="42"/>
        <item x="24"/>
        <item x="26"/>
        <item x="14"/>
        <item x="6"/>
        <item x="86"/>
        <item x="13"/>
        <item x="37"/>
        <item x="64"/>
        <item x="51"/>
        <item x="53"/>
        <item x="22"/>
        <item x="71"/>
        <item x="55"/>
        <item x="7"/>
        <item x="79"/>
        <item x="49"/>
        <item x="41"/>
        <item x="66"/>
        <item x="59"/>
        <item x="44"/>
        <item x="20"/>
        <item x="75"/>
        <item x="81"/>
        <item x="88"/>
        <item x="30"/>
        <item x="11"/>
        <item x="9"/>
        <item x="87"/>
        <item x="72"/>
        <item x="21"/>
        <item x="28"/>
        <item x="43"/>
        <item x="27"/>
        <item x="89"/>
        <item x="0"/>
        <item x="85"/>
        <item x="33"/>
        <item x="38"/>
        <item x="36"/>
        <item x="70"/>
        <item x="65"/>
        <item x="35"/>
        <item x="47"/>
        <item x="54"/>
        <item x="15"/>
        <item x="3"/>
        <item x="50"/>
        <item x="58"/>
        <item x="12"/>
        <item x="16"/>
        <item x="67"/>
        <item x="23"/>
        <item x="46"/>
        <item x="77"/>
        <item x="1"/>
        <item x="2"/>
        <item x="57"/>
        <item x="82"/>
        <item x="39"/>
        <item x="69"/>
        <item t="default"/>
      </items>
    </pivotField>
    <pivotField showAll="0">
      <items count="3">
        <item x="1"/>
        <item x="0"/>
        <item t="default"/>
      </items>
    </pivotField>
    <pivotField showAll="0">
      <items count="7">
        <item x="4"/>
        <item x="2"/>
        <item x="1"/>
        <item x="0"/>
        <item x="5"/>
        <item x="3"/>
        <item t="default"/>
      </items>
    </pivotField>
    <pivotField showAll="0"/>
    <pivotField showAll="0">
      <items count="7">
        <item x="4"/>
        <item x="5"/>
        <item x="1"/>
        <item x="0"/>
        <item x="3"/>
        <item x="2"/>
        <item t="default"/>
      </items>
    </pivotField>
    <pivotField dataField="1" showAll="0"/>
    <pivotField showAll="0"/>
    <pivotField showAll="0">
      <items count="3">
        <item x="1"/>
        <item x="0"/>
        <item t="default"/>
      </items>
    </pivotField>
    <pivotField showAll="0"/>
    <pivotField showAll="0">
      <items count="7">
        <item x="2"/>
        <item x="0"/>
        <item x="5"/>
        <item x="3"/>
        <item x="1"/>
        <item x="4"/>
        <item t="default"/>
      </items>
    </pivotField>
    <pivotField showAll="0"/>
  </pivotFields>
  <rowItems count="1">
    <i/>
  </rowItems>
  <colItems count="1">
    <i/>
  </colItems>
  <dataFields count="1">
    <dataField name="Average of Treatment_Cost"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41D9F8-C28D-4E60-838A-76D5F6BE1F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B52"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91">
        <item x="5"/>
        <item x="68"/>
        <item x="61"/>
        <item x="63"/>
        <item x="31"/>
        <item x="19"/>
        <item x="73"/>
        <item x="29"/>
        <item x="74"/>
        <item x="48"/>
        <item x="34"/>
        <item x="84"/>
        <item x="18"/>
        <item x="25"/>
        <item x="40"/>
        <item x="45"/>
        <item x="32"/>
        <item x="80"/>
        <item x="8"/>
        <item x="60"/>
        <item x="17"/>
        <item x="56"/>
        <item x="83"/>
        <item x="52"/>
        <item x="4"/>
        <item x="78"/>
        <item x="62"/>
        <item x="76"/>
        <item x="10"/>
        <item x="42"/>
        <item x="24"/>
        <item x="26"/>
        <item x="14"/>
        <item x="6"/>
        <item x="86"/>
        <item x="13"/>
        <item x="37"/>
        <item x="64"/>
        <item x="51"/>
        <item x="53"/>
        <item x="22"/>
        <item x="71"/>
        <item x="55"/>
        <item x="7"/>
        <item x="79"/>
        <item x="49"/>
        <item x="41"/>
        <item x="66"/>
        <item x="59"/>
        <item x="44"/>
        <item x="20"/>
        <item x="75"/>
        <item x="81"/>
        <item x="88"/>
        <item x="30"/>
        <item x="11"/>
        <item x="9"/>
        <item x="87"/>
        <item x="72"/>
        <item x="21"/>
        <item x="28"/>
        <item x="43"/>
        <item x="27"/>
        <item x="89"/>
        <item x="0"/>
        <item x="85"/>
        <item x="33"/>
        <item x="38"/>
        <item x="36"/>
        <item x="70"/>
        <item x="65"/>
        <item x="35"/>
        <item x="47"/>
        <item x="54"/>
        <item x="15"/>
        <item x="3"/>
        <item x="50"/>
        <item x="58"/>
        <item x="12"/>
        <item x="16"/>
        <item x="67"/>
        <item x="23"/>
        <item x="46"/>
        <item x="77"/>
        <item x="1"/>
        <item x="2"/>
        <item x="57"/>
        <item x="82"/>
        <item x="39"/>
        <item x="69"/>
        <item t="default"/>
      </items>
    </pivotField>
    <pivotField showAll="0">
      <items count="3">
        <item x="1"/>
        <item x="0"/>
        <item t="default"/>
      </items>
    </pivotField>
    <pivotField showAll="0">
      <items count="7">
        <item x="4"/>
        <item x="2"/>
        <item x="1"/>
        <item x="0"/>
        <item x="5"/>
        <item x="3"/>
        <item t="default"/>
      </items>
    </pivotField>
    <pivotField showAll="0"/>
    <pivotField showAll="0">
      <items count="7">
        <item x="4"/>
        <item x="5"/>
        <item x="1"/>
        <item x="0"/>
        <item x="3"/>
        <item x="2"/>
        <item t="default"/>
      </items>
    </pivotField>
    <pivotField showAll="0"/>
    <pivotField showAll="0"/>
    <pivotField showAll="0">
      <items count="3">
        <item x="1"/>
        <item x="0"/>
        <item t="default"/>
      </items>
    </pivotField>
    <pivotField showAll="0"/>
    <pivotField axis="axisRow" showAll="0">
      <items count="7">
        <item x="2"/>
        <item x="0"/>
        <item x="5"/>
        <item x="3"/>
        <item x="1"/>
        <item x="4"/>
        <item t="default"/>
      </items>
    </pivotField>
    <pivotField showAll="0"/>
  </pivotFields>
  <rowFields count="1">
    <field x="11"/>
  </rowFields>
  <rowItems count="7">
    <i>
      <x/>
    </i>
    <i>
      <x v="1"/>
    </i>
    <i>
      <x v="2"/>
    </i>
    <i>
      <x v="3"/>
    </i>
    <i>
      <x v="4"/>
    </i>
    <i>
      <x v="5"/>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BC198D-853A-469D-92D6-BF76B59F2C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3">
        <item x="1"/>
        <item x="0"/>
        <item t="default"/>
      </items>
    </pivotField>
    <pivotField showAll="0">
      <items count="7">
        <item x="4"/>
        <item x="2"/>
        <item x="1"/>
        <item x="0"/>
        <item x="5"/>
        <item x="3"/>
        <item t="default"/>
      </items>
    </pivotField>
    <pivotField showAll="0"/>
    <pivotField showAll="0">
      <items count="7">
        <item x="4"/>
        <item x="5"/>
        <item x="1"/>
        <item x="0"/>
        <item x="3"/>
        <item x="2"/>
        <item t="default"/>
      </items>
    </pivotField>
    <pivotField showAll="0"/>
    <pivotField showAll="0"/>
    <pivotField showAll="0">
      <items count="3">
        <item x="1"/>
        <item x="0"/>
        <item t="default"/>
      </items>
    </pivotField>
    <pivotField showAll="0"/>
    <pivotField showAll="0">
      <items count="7">
        <item x="2"/>
        <item x="0"/>
        <item x="5"/>
        <item x="3"/>
        <item x="1"/>
        <item x="4"/>
        <item t="default"/>
      </items>
    </pivotField>
    <pivotField showAll="0"/>
  </pivotFields>
  <rowFields count="1">
    <field x="3"/>
  </rowFields>
  <rowItems count="3">
    <i>
      <x/>
    </i>
    <i>
      <x v="1"/>
    </i>
    <i t="grand">
      <x/>
    </i>
  </rowItems>
  <colItems count="1">
    <i/>
  </colItems>
  <dataFields count="1">
    <dataField name="Count of Pati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3FEE73-2048-4662-A59C-1D4580DD88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4:B111"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axis="axisRow" showAll="0">
      <items count="7">
        <item x="4"/>
        <item x="2"/>
        <item x="1"/>
        <item x="0"/>
        <item x="5"/>
        <item x="3"/>
        <item t="default"/>
      </items>
    </pivotField>
    <pivotField showAll="0"/>
    <pivotField showAll="0">
      <items count="7">
        <item x="4"/>
        <item x="5"/>
        <item x="1"/>
        <item x="0"/>
        <item x="3"/>
        <item x="2"/>
        <item t="default"/>
      </items>
    </pivotField>
    <pivotField dataField="1" showAll="0"/>
    <pivotField showAll="0"/>
    <pivotField showAll="0">
      <items count="3">
        <item x="1"/>
        <item x="0"/>
        <item t="default"/>
      </items>
    </pivotField>
    <pivotField showAll="0"/>
    <pivotField showAll="0">
      <items count="7">
        <item x="2"/>
        <item x="0"/>
        <item x="5"/>
        <item x="3"/>
        <item x="1"/>
        <item x="4"/>
        <item t="default"/>
      </items>
    </pivotField>
    <pivotField showAll="0"/>
  </pivotFields>
  <rowFields count="1">
    <field x="4"/>
  </rowFields>
  <rowItems count="7">
    <i>
      <x/>
    </i>
    <i>
      <x v="1"/>
    </i>
    <i>
      <x v="2"/>
    </i>
    <i>
      <x v="3"/>
    </i>
    <i>
      <x v="4"/>
    </i>
    <i>
      <x v="5"/>
    </i>
    <i t="grand">
      <x/>
    </i>
  </rowItems>
  <colItems count="1">
    <i/>
  </colItems>
  <dataFields count="1">
    <dataField name="Sum of Treatment_Cost" fld="7" baseField="0" baseItem="0" numFmtId="1"/>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64D5F7-0215-4794-A36D-717AF7C101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B42"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showAll="0">
      <items count="7">
        <item x="4"/>
        <item x="2"/>
        <item x="1"/>
        <item x="0"/>
        <item x="5"/>
        <item x="3"/>
        <item t="default"/>
      </items>
    </pivotField>
    <pivotField showAll="0"/>
    <pivotField showAll="0">
      <items count="7">
        <item x="4"/>
        <item x="5"/>
        <item x="1"/>
        <item x="0"/>
        <item x="3"/>
        <item x="2"/>
        <item t="default"/>
      </items>
    </pivotField>
    <pivotField showAll="0"/>
    <pivotField showAll="0"/>
    <pivotField axis="axisRow" showAll="0">
      <items count="3">
        <item x="1"/>
        <item x="0"/>
        <item t="default"/>
      </items>
    </pivotField>
    <pivotField showAll="0"/>
    <pivotField showAll="0">
      <items count="7">
        <item x="2"/>
        <item x="0"/>
        <item x="5"/>
        <item x="3"/>
        <item x="1"/>
        <item x="4"/>
        <item t="default"/>
      </items>
    </pivotField>
    <pivotField showAll="0"/>
  </pivotFields>
  <rowFields count="1">
    <field x="9"/>
  </rowFields>
  <rowItems count="3">
    <i>
      <x/>
    </i>
    <i>
      <x v="1"/>
    </i>
    <i t="grand">
      <x/>
    </i>
  </rowItems>
  <colItems count="1">
    <i/>
  </colItems>
  <dataFields count="1">
    <dataField name="Count of Pati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D73777-FCDD-4080-9CD8-3E78F09CC75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5:A86" firstHeaderRow="1" firstDataRow="1" firstDataCol="0"/>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showAll="0">
      <items count="7">
        <item x="4"/>
        <item x="2"/>
        <item x="1"/>
        <item x="0"/>
        <item x="5"/>
        <item x="3"/>
        <item t="default"/>
      </items>
    </pivotField>
    <pivotField showAll="0"/>
    <pivotField showAll="0">
      <items count="7">
        <item x="4"/>
        <item x="5"/>
        <item x="1"/>
        <item x="0"/>
        <item x="3"/>
        <item x="2"/>
        <item t="default"/>
      </items>
    </pivotField>
    <pivotField showAll="0"/>
    <pivotField showAll="0"/>
    <pivotField showAll="0">
      <items count="3">
        <item x="1"/>
        <item x="0"/>
        <item t="default"/>
      </items>
    </pivotField>
    <pivotField showAll="0"/>
    <pivotField showAll="0">
      <items count="7">
        <item x="2"/>
        <item x="0"/>
        <item x="5"/>
        <item x="3"/>
        <item x="1"/>
        <item x="4"/>
        <item t="default"/>
      </items>
    </pivotField>
    <pivotField showAll="0"/>
  </pivotFields>
  <rowItems count="1">
    <i/>
  </rowItems>
  <colItems count="1">
    <i/>
  </colItems>
  <dataFields count="1">
    <dataField name="Count of Pati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81245C-0E30-44E5-BA3E-540491DF79F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4:B205"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91">
        <item x="5"/>
        <item x="68"/>
        <item x="61"/>
        <item x="63"/>
        <item x="31"/>
        <item x="19"/>
        <item x="73"/>
        <item x="29"/>
        <item x="74"/>
        <item x="48"/>
        <item x="34"/>
        <item x="84"/>
        <item x="18"/>
        <item x="25"/>
        <item x="40"/>
        <item x="45"/>
        <item x="32"/>
        <item x="80"/>
        <item x="8"/>
        <item x="60"/>
        <item x="17"/>
        <item x="56"/>
        <item x="83"/>
        <item x="52"/>
        <item x="4"/>
        <item x="78"/>
        <item x="62"/>
        <item x="76"/>
        <item x="10"/>
        <item x="42"/>
        <item x="24"/>
        <item x="26"/>
        <item x="14"/>
        <item x="6"/>
        <item x="86"/>
        <item x="13"/>
        <item x="37"/>
        <item x="64"/>
        <item x="51"/>
        <item x="53"/>
        <item x="22"/>
        <item x="71"/>
        <item x="55"/>
        <item x="7"/>
        <item x="79"/>
        <item x="49"/>
        <item x="41"/>
        <item x="66"/>
        <item x="59"/>
        <item x="44"/>
        <item x="20"/>
        <item x="75"/>
        <item x="81"/>
        <item x="88"/>
        <item x="30"/>
        <item x="11"/>
        <item x="9"/>
        <item x="87"/>
        <item x="72"/>
        <item x="21"/>
        <item x="28"/>
        <item x="43"/>
        <item x="27"/>
        <item x="89"/>
        <item x="0"/>
        <item x="85"/>
        <item x="33"/>
        <item x="38"/>
        <item x="36"/>
        <item x="70"/>
        <item x="65"/>
        <item x="35"/>
        <item x="47"/>
        <item x="54"/>
        <item x="15"/>
        <item x="3"/>
        <item x="50"/>
        <item x="58"/>
        <item x="12"/>
        <item x="16"/>
        <item x="67"/>
        <item x="23"/>
        <item x="46"/>
        <item x="77"/>
        <item x="1"/>
        <item x="2"/>
        <item x="57"/>
        <item x="82"/>
        <item x="39"/>
        <item x="69"/>
        <item t="default"/>
      </items>
    </pivotField>
    <pivotField showAll="0">
      <items count="3">
        <item x="1"/>
        <item x="0"/>
        <item t="default"/>
      </items>
    </pivotField>
    <pivotField showAll="0">
      <items count="7">
        <item x="4"/>
        <item x="2"/>
        <item x="1"/>
        <item x="0"/>
        <item x="5"/>
        <item x="3"/>
        <item t="default"/>
      </items>
    </pivotField>
    <pivotField showAll="0"/>
    <pivotField showAll="0">
      <items count="7">
        <item x="4"/>
        <item x="5"/>
        <item x="1"/>
        <item x="0"/>
        <item x="3"/>
        <item x="2"/>
        <item t="default"/>
      </items>
    </pivotField>
    <pivotField dataField="1" showAll="0"/>
    <pivotField showAll="0"/>
    <pivotField showAll="0">
      <items count="3">
        <item x="1"/>
        <item x="0"/>
        <item t="default"/>
      </items>
    </pivotField>
    <pivotField showAll="0"/>
    <pivotField showAll="0">
      <items count="7">
        <item x="2"/>
        <item x="0"/>
        <item x="5"/>
        <item x="3"/>
        <item x="1"/>
        <item x="4"/>
        <item t="default"/>
      </items>
    </pivotField>
    <pivotField showAll="0"/>
  </pivotFields>
  <rowFields count="1">
    <field x="2"/>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Sum of Treatment_Cost" fld="7" baseField="2" baseItem="0" numFmtId="1"/>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F00A30-F475-4220-9F4B-B616A88BC3A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8:A89" firstHeaderRow="1" firstDataRow="1" firstDataCol="0"/>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showAll="0">
      <items count="7">
        <item x="4"/>
        <item x="2"/>
        <item x="1"/>
        <item x="0"/>
        <item x="5"/>
        <item x="3"/>
        <item t="default"/>
      </items>
    </pivotField>
    <pivotField showAll="0"/>
    <pivotField showAll="0">
      <items count="7">
        <item x="4"/>
        <item x="5"/>
        <item x="1"/>
        <item x="0"/>
        <item x="3"/>
        <item x="2"/>
        <item t="default"/>
      </items>
    </pivotField>
    <pivotField dataField="1" showAll="0"/>
    <pivotField showAll="0"/>
    <pivotField showAll="0">
      <items count="3">
        <item x="1"/>
        <item x="0"/>
        <item t="default"/>
      </items>
    </pivotField>
    <pivotField showAll="0"/>
    <pivotField showAll="0">
      <items count="7">
        <item x="2"/>
        <item x="0"/>
        <item x="5"/>
        <item x="3"/>
        <item x="1"/>
        <item x="4"/>
        <item t="default"/>
      </items>
    </pivotField>
    <pivotField showAll="0"/>
  </pivotFields>
  <rowItems count="1">
    <i/>
  </rowItems>
  <colItems count="1">
    <i/>
  </colItems>
  <dataFields count="1">
    <dataField name="Sum of Treatment_Co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8945F4-C530-4B31-AE42-B88468CFB3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B16"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axis="axisRow" showAll="0">
      <items count="7">
        <item x="4"/>
        <item x="2"/>
        <item x="1"/>
        <item x="0"/>
        <item x="5"/>
        <item x="3"/>
        <item t="default"/>
      </items>
    </pivotField>
    <pivotField showAll="0"/>
    <pivotField showAll="0">
      <items count="7">
        <item x="4"/>
        <item x="5"/>
        <item x="1"/>
        <item x="0"/>
        <item x="3"/>
        <item x="2"/>
        <item t="default"/>
      </items>
    </pivotField>
    <pivotField showAll="0"/>
    <pivotField showAll="0"/>
    <pivotField showAll="0">
      <items count="3">
        <item x="1"/>
        <item x="0"/>
        <item t="default"/>
      </items>
    </pivotField>
    <pivotField showAll="0"/>
    <pivotField showAll="0">
      <items count="7">
        <item x="2"/>
        <item x="0"/>
        <item x="5"/>
        <item x="3"/>
        <item x="1"/>
        <item x="4"/>
        <item t="default"/>
      </items>
    </pivotField>
    <pivotField showAll="0"/>
  </pivotFields>
  <rowFields count="1">
    <field x="4"/>
  </rowFields>
  <rowItems count="7">
    <i>
      <x/>
    </i>
    <i>
      <x v="1"/>
    </i>
    <i>
      <x v="2"/>
    </i>
    <i>
      <x v="3"/>
    </i>
    <i>
      <x v="4"/>
    </i>
    <i>
      <x v="5"/>
    </i>
    <i t="grand">
      <x/>
    </i>
  </rowItems>
  <colItems count="1">
    <i/>
  </colItems>
  <dataFields count="1">
    <dataField name="Count of Patient_ID"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5"/>
          </reference>
        </references>
      </pivotArea>
    </chartFormat>
    <chartFormat chart="3" format="4">
      <pivotArea type="data" outline="0" fieldPosition="0">
        <references count="2">
          <reference field="4294967294" count="1" selected="0">
            <x v="0"/>
          </reference>
          <reference field="4" count="1" selected="0">
            <x v="4"/>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F02A29-6D48-41E7-AF97-0160A0E6D24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4:B97"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showAll="0" sortType="descending">
      <items count="7">
        <item x="4"/>
        <item x="2"/>
        <item x="1"/>
        <item x="0"/>
        <item x="5"/>
        <item x="3"/>
        <item t="default"/>
      </items>
      <autoSortScope>
        <pivotArea dataOnly="0" outline="0" fieldPosition="0">
          <references count="1">
            <reference field="4294967294" count="1" selected="0">
              <x v="0"/>
            </reference>
          </references>
        </pivotArea>
      </autoSortScope>
    </pivotField>
    <pivotField showAll="0"/>
    <pivotField showAll="0">
      <items count="7">
        <item x="4"/>
        <item x="5"/>
        <item x="1"/>
        <item x="0"/>
        <item x="3"/>
        <item x="2"/>
        <item t="default"/>
      </items>
    </pivotField>
    <pivotField showAll="0"/>
    <pivotField showAll="0"/>
    <pivotField axis="axisRow" showAll="0">
      <items count="3">
        <item x="1"/>
        <item x="0"/>
        <item t="default"/>
      </items>
    </pivotField>
    <pivotField showAll="0"/>
    <pivotField showAll="0">
      <items count="7">
        <item x="2"/>
        <item x="0"/>
        <item x="5"/>
        <item x="3"/>
        <item x="1"/>
        <item x="4"/>
        <item t="default"/>
      </items>
    </pivotField>
    <pivotField showAll="0"/>
  </pivotFields>
  <rowFields count="1">
    <field x="9"/>
  </rowFields>
  <rowItems count="3">
    <i>
      <x/>
    </i>
    <i>
      <x v="1"/>
    </i>
    <i t="grand">
      <x/>
    </i>
  </rowItems>
  <colItems count="1">
    <i/>
  </colItems>
  <dataFields count="1">
    <dataField name="Count of Patient_ID" fld="0" subtotal="count" showDataAs="percentOfTotal" baseField="0" baseItem="0" numFmtId="10"/>
  </dataFields>
  <formats count="2">
    <format dxfId="23">
      <pivotArea outline="0" collapsedLevelsAreSubtotals="1" fieldPosition="0"/>
    </format>
    <format dxfId="2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C0A2F7C-3DCC-4246-AC88-B667E8249BB3}" sourceName="Department">
  <pivotTables>
    <pivotTable tabId="2" name="PivotTable1"/>
    <pivotTable tabId="2" name="PivotTable8"/>
    <pivotTable tabId="2" name="PivotTable10"/>
    <pivotTable tabId="2" name="PivotTable13"/>
    <pivotTable tabId="2" name="PivotTable14"/>
    <pivotTable tabId="2" name="PivotTable2"/>
    <pivotTable tabId="2" name="PivotTable3"/>
    <pivotTable tabId="2" name="PivotTable4"/>
    <pivotTable tabId="2" name="PivotTable5"/>
    <pivotTable tabId="2" name="PivotTable6"/>
    <pivotTable tabId="2" name="PivotTable9"/>
    <pivotTable tabId="2" name="PivotTable7"/>
    <pivotTable tabId="2" name="PivotTable11"/>
  </pivotTables>
  <data>
    <tabular pivotCacheId="1320670215">
      <items count="6">
        <i x="4" s="1"/>
        <i x="2" s="1"/>
        <i x="1" s="1"/>
        <i x="0"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539265-0143-4F46-B2A7-DF0BD255BE80}" sourceName="Gender">
  <pivotTables>
    <pivotTable tabId="2" name="PivotTable1"/>
    <pivotTable tabId="2" name="PivotTable8"/>
    <pivotTable tabId="2" name="PivotTable10"/>
    <pivotTable tabId="2" name="PivotTable13"/>
    <pivotTable tabId="2" name="PivotTable14"/>
    <pivotTable tabId="2" name="PivotTable2"/>
    <pivotTable tabId="2" name="PivotTable3"/>
    <pivotTable tabId="2" name="PivotTable4"/>
    <pivotTable tabId="2" name="PivotTable5"/>
    <pivotTable tabId="2" name="PivotTable6"/>
    <pivotTable tabId="2" name="PivotTable9"/>
    <pivotTable tabId="2" name="PivotTable7"/>
    <pivotTable tabId="2" name="PivotTable11"/>
  </pivotTables>
  <data>
    <tabular pivotCacheId="132067021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1941DDBF-9A4D-4C79-A9D2-298E43D80C5E}" sourceName="Diagnosis">
  <pivotTables>
    <pivotTable tabId="2" name="PivotTable1"/>
    <pivotTable tabId="2" name="PivotTable8"/>
    <pivotTable tabId="2" name="PivotTable10"/>
    <pivotTable tabId="2" name="PivotTable13"/>
    <pivotTable tabId="2" name="PivotTable14"/>
    <pivotTable tabId="2" name="PivotTable2"/>
    <pivotTable tabId="2" name="PivotTable3"/>
    <pivotTable tabId="2" name="PivotTable4"/>
    <pivotTable tabId="2" name="PivotTable5"/>
    <pivotTable tabId="2" name="PivotTable6"/>
    <pivotTable tabId="2" name="PivotTable9"/>
    <pivotTable tabId="2" name="PivotTable7"/>
    <pivotTable tabId="2" name="PivotTable11"/>
  </pivotTables>
  <data>
    <tabular pivotCacheId="1320670215">
      <items count="6">
        <i x="4" s="1"/>
        <i x="5" s="1"/>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F8A593E7-089A-404C-939F-54E4A1496EAA}" sourceName="Insurance">
  <pivotTables>
    <pivotTable tabId="2" name="PivotTable1"/>
    <pivotTable tabId="2" name="PivotTable8"/>
    <pivotTable tabId="2" name="PivotTable10"/>
    <pivotTable tabId="2" name="PivotTable13"/>
    <pivotTable tabId="2" name="PivotTable14"/>
    <pivotTable tabId="2" name="PivotTable2"/>
    <pivotTable tabId="2" name="PivotTable3"/>
    <pivotTable tabId="2" name="PivotTable5"/>
    <pivotTable tabId="2" name="PivotTable6"/>
    <pivotTable tabId="2" name="PivotTable9"/>
    <pivotTable tabId="2" name="PivotTable7"/>
    <pivotTable tabId="2" name="PivotTable11"/>
  </pivotTables>
  <data>
    <tabular pivotCacheId="1320670215">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E876143-C1A6-42B4-9E0D-5B6B7F6E19EC}" sourceName="City">
  <pivotTables>
    <pivotTable tabId="2" name="PivotTable1"/>
    <pivotTable tabId="2" name="PivotTable8"/>
    <pivotTable tabId="2" name="PivotTable10"/>
    <pivotTable tabId="2" name="PivotTable13"/>
    <pivotTable tabId="2" name="PivotTable14"/>
    <pivotTable tabId="2" name="PivotTable2"/>
    <pivotTable tabId="2" name="PivotTable3"/>
    <pivotTable tabId="2" name="PivotTable4"/>
    <pivotTable tabId="2" name="PivotTable5"/>
    <pivotTable tabId="2" name="PivotTable6"/>
    <pivotTable tabId="2" name="PivotTable9"/>
    <pivotTable tabId="2" name="PivotTable7"/>
    <pivotTable tabId="2" name="PivotTable11"/>
  </pivotTables>
  <data>
    <tabular pivotCacheId="1320670215">
      <items count="6">
        <i x="2" s="1"/>
        <i x="0" s="1"/>
        <i x="5"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20919FE-DE62-45AF-B8DC-1BDFDB52EA05}" cache="Slicer_Department" caption="Department" rowHeight="234950"/>
  <slicer name="Gender" xr10:uid="{2994FAA2-2573-4D77-8030-DC4A581FF1DF}" cache="Slicer_Gender" caption="Gender" rowHeight="234950"/>
  <slicer name="Diagnosis" xr10:uid="{CC26AD83-440F-4D02-96A4-349F7919653E}" cache="Slicer_Diagnosis" caption="Diagnosis" rowHeight="234950"/>
  <slicer name="Insurance" xr10:uid="{AC334596-6F12-42E4-BF26-D69F9DCBF904}" cache="Slicer_Insurance" caption="Insurance" rowHeight="234950"/>
  <slicer name="City" xr10:uid="{11512C52-B98C-49FF-B564-431B97467A6E}"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D677FFE-BF09-483F-B2A6-F53BDF521BEA}" cache="Slicer_Department" caption="Department" style="SlicerStyleDark1" rowHeight="234950"/>
  <slicer name="Gender 1" xr10:uid="{0486117D-4004-40DA-AC19-5A36C9398A44}" cache="Slicer_Gender" caption="Gender" style="SlicerStyleDark1" rowHeight="234950"/>
  <slicer name="Diagnosis 1" xr10:uid="{7CC43C32-4AF5-439E-BFE2-E738E29296CE}" cache="Slicer_Diagnosis" caption="Diagnosis" style="SlicerStyleDark1" rowHeight="234950"/>
  <slicer name="Insurance 1" xr10:uid="{C25596B9-A1CA-4158-8B9D-FBD4AB264088}" cache="Slicer_Insurance" caption="Insurance" style="SlicerStyleDark1" rowHeight="234950"/>
  <slicer name="City 1" xr10:uid="{CF91B07D-FABA-4DD5-BD75-ECC74A652207}" cache="Slicer_City" caption="City"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A251" workbookViewId="0">
      <selection sqref="A1:M1001"/>
    </sheetView>
  </sheetViews>
  <sheetFormatPr defaultRowHeight="14.4" x14ac:dyDescent="0.3"/>
  <cols>
    <col min="1" max="1" width="9.5546875" bestFit="1" customWidth="1"/>
    <col min="2" max="2" width="14.21875" bestFit="1" customWidth="1"/>
    <col min="3" max="3" width="4" bestFit="1" customWidth="1"/>
    <col min="4" max="4" width="6.88671875" bestFit="1" customWidth="1"/>
    <col min="5" max="5" width="15.33203125" bestFit="1" customWidth="1"/>
    <col min="6" max="6" width="9.21875" bestFit="1" customWidth="1"/>
    <col min="7" max="7" width="11.77734375" bestFit="1" customWidth="1"/>
    <col min="8" max="8" width="14.33203125" bestFit="1" customWidth="1"/>
    <col min="9" max="9" width="13.77734375" bestFit="1" customWidth="1"/>
    <col min="11" max="11" width="11.77734375" bestFit="1" customWidth="1"/>
    <col min="12" max="12" width="10.21875" bestFit="1" customWidth="1"/>
    <col min="13" max="13" width="15.109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v>65</v>
      </c>
      <c r="D2" t="s">
        <v>15</v>
      </c>
      <c r="E2" t="s">
        <v>16</v>
      </c>
      <c r="F2" t="s">
        <v>17</v>
      </c>
      <c r="G2" t="s">
        <v>18</v>
      </c>
      <c r="H2">
        <v>48789.14</v>
      </c>
      <c r="I2">
        <v>4</v>
      </c>
      <c r="J2" t="s">
        <v>19</v>
      </c>
      <c r="K2" t="s">
        <v>20</v>
      </c>
      <c r="L2" t="s">
        <v>21</v>
      </c>
      <c r="M2" t="s">
        <v>22</v>
      </c>
    </row>
    <row r="3" spans="1:13" x14ac:dyDescent="0.3">
      <c r="A3" t="s">
        <v>23</v>
      </c>
      <c r="B3" t="s">
        <v>24</v>
      </c>
      <c r="C3">
        <v>85</v>
      </c>
      <c r="D3" t="s">
        <v>15</v>
      </c>
      <c r="E3" t="s">
        <v>25</v>
      </c>
      <c r="F3" t="s">
        <v>26</v>
      </c>
      <c r="G3" t="s">
        <v>27</v>
      </c>
      <c r="H3">
        <v>64708.92</v>
      </c>
      <c r="I3">
        <v>18</v>
      </c>
      <c r="J3" t="s">
        <v>28</v>
      </c>
      <c r="K3" t="s">
        <v>29</v>
      </c>
      <c r="L3" t="s">
        <v>30</v>
      </c>
      <c r="M3" t="s">
        <v>31</v>
      </c>
    </row>
    <row r="4" spans="1:13" x14ac:dyDescent="0.3">
      <c r="A4" t="s">
        <v>32</v>
      </c>
      <c r="B4" t="s">
        <v>33</v>
      </c>
      <c r="C4">
        <v>86</v>
      </c>
      <c r="D4" t="s">
        <v>34</v>
      </c>
      <c r="E4" t="s">
        <v>35</v>
      </c>
      <c r="F4" t="s">
        <v>17</v>
      </c>
      <c r="G4" t="s">
        <v>36</v>
      </c>
      <c r="H4">
        <v>95428.68</v>
      </c>
      <c r="I4">
        <v>20</v>
      </c>
      <c r="J4" t="s">
        <v>19</v>
      </c>
      <c r="K4" t="s">
        <v>29</v>
      </c>
      <c r="L4" t="s">
        <v>21</v>
      </c>
      <c r="M4" t="s">
        <v>22</v>
      </c>
    </row>
    <row r="5" spans="1:13" x14ac:dyDescent="0.3">
      <c r="A5" t="s">
        <v>37</v>
      </c>
      <c r="B5" t="s">
        <v>38</v>
      </c>
      <c r="C5">
        <v>76</v>
      </c>
      <c r="D5" t="s">
        <v>34</v>
      </c>
      <c r="E5" t="s">
        <v>35</v>
      </c>
      <c r="F5" t="s">
        <v>26</v>
      </c>
      <c r="G5" t="s">
        <v>27</v>
      </c>
      <c r="H5">
        <v>138073.79</v>
      </c>
      <c r="I5">
        <v>19</v>
      </c>
      <c r="J5" t="s">
        <v>19</v>
      </c>
      <c r="K5" t="s">
        <v>39</v>
      </c>
      <c r="L5" t="s">
        <v>40</v>
      </c>
      <c r="M5" t="s">
        <v>31</v>
      </c>
    </row>
    <row r="6" spans="1:13" x14ac:dyDescent="0.3">
      <c r="A6" t="s">
        <v>41</v>
      </c>
      <c r="B6" t="s">
        <v>42</v>
      </c>
      <c r="C6">
        <v>25</v>
      </c>
      <c r="D6" t="s">
        <v>15</v>
      </c>
      <c r="E6" t="s">
        <v>25</v>
      </c>
      <c r="F6" t="s">
        <v>26</v>
      </c>
      <c r="G6" t="s">
        <v>43</v>
      </c>
      <c r="H6">
        <v>30065.200000000001</v>
      </c>
      <c r="I6">
        <v>15</v>
      </c>
      <c r="J6" t="s">
        <v>19</v>
      </c>
      <c r="K6" t="s">
        <v>44</v>
      </c>
      <c r="L6" t="s">
        <v>45</v>
      </c>
      <c r="M6" t="s">
        <v>22</v>
      </c>
    </row>
    <row r="7" spans="1:13" x14ac:dyDescent="0.3">
      <c r="A7" t="s">
        <v>46</v>
      </c>
      <c r="B7" t="s">
        <v>47</v>
      </c>
      <c r="C7">
        <v>1</v>
      </c>
      <c r="D7" t="s">
        <v>34</v>
      </c>
      <c r="E7" t="s">
        <v>16</v>
      </c>
      <c r="F7" t="s">
        <v>26</v>
      </c>
      <c r="G7" t="s">
        <v>27</v>
      </c>
      <c r="H7">
        <v>81310.080000000002</v>
      </c>
      <c r="I7">
        <v>5</v>
      </c>
      <c r="J7" t="s">
        <v>19</v>
      </c>
      <c r="K7" t="s">
        <v>44</v>
      </c>
      <c r="L7" t="s">
        <v>21</v>
      </c>
      <c r="M7" t="s">
        <v>31</v>
      </c>
    </row>
    <row r="8" spans="1:13" x14ac:dyDescent="0.3">
      <c r="A8" t="s">
        <v>48</v>
      </c>
      <c r="B8" t="s">
        <v>49</v>
      </c>
      <c r="C8">
        <v>34</v>
      </c>
      <c r="D8" t="s">
        <v>15</v>
      </c>
      <c r="E8" t="s">
        <v>35</v>
      </c>
      <c r="F8" t="s">
        <v>17</v>
      </c>
      <c r="G8" t="s">
        <v>36</v>
      </c>
      <c r="H8">
        <v>122229.42</v>
      </c>
      <c r="I8">
        <v>16</v>
      </c>
      <c r="J8" t="s">
        <v>28</v>
      </c>
      <c r="K8" t="s">
        <v>50</v>
      </c>
      <c r="L8" t="s">
        <v>51</v>
      </c>
      <c r="M8" t="s">
        <v>31</v>
      </c>
    </row>
    <row r="9" spans="1:13" x14ac:dyDescent="0.3">
      <c r="A9" t="s">
        <v>52</v>
      </c>
      <c r="B9" t="s">
        <v>53</v>
      </c>
      <c r="C9">
        <v>44</v>
      </c>
      <c r="D9" t="s">
        <v>34</v>
      </c>
      <c r="E9" t="s">
        <v>25</v>
      </c>
      <c r="F9" t="s">
        <v>26</v>
      </c>
      <c r="G9" t="s">
        <v>54</v>
      </c>
      <c r="H9">
        <v>84537.82</v>
      </c>
      <c r="I9">
        <v>1</v>
      </c>
      <c r="J9" t="s">
        <v>19</v>
      </c>
      <c r="K9" t="s">
        <v>55</v>
      </c>
      <c r="L9" t="s">
        <v>45</v>
      </c>
      <c r="M9" t="s">
        <v>22</v>
      </c>
    </row>
    <row r="10" spans="1:13" x14ac:dyDescent="0.3">
      <c r="A10" t="s">
        <v>56</v>
      </c>
      <c r="B10" t="s">
        <v>57</v>
      </c>
      <c r="C10">
        <v>19</v>
      </c>
      <c r="D10" t="s">
        <v>34</v>
      </c>
      <c r="E10" t="s">
        <v>35</v>
      </c>
      <c r="F10" t="s">
        <v>26</v>
      </c>
      <c r="G10" t="s">
        <v>43</v>
      </c>
      <c r="H10">
        <v>1769.84</v>
      </c>
      <c r="I10">
        <v>16</v>
      </c>
      <c r="J10" t="s">
        <v>19</v>
      </c>
      <c r="K10" t="s">
        <v>44</v>
      </c>
      <c r="L10" t="s">
        <v>21</v>
      </c>
      <c r="M10" t="s">
        <v>58</v>
      </c>
    </row>
    <row r="11" spans="1:13" x14ac:dyDescent="0.3">
      <c r="A11" t="s">
        <v>59</v>
      </c>
      <c r="B11" t="s">
        <v>60</v>
      </c>
      <c r="C11">
        <v>57</v>
      </c>
      <c r="D11" t="s">
        <v>15</v>
      </c>
      <c r="E11" t="s">
        <v>16</v>
      </c>
      <c r="F11" t="s">
        <v>61</v>
      </c>
      <c r="G11" t="s">
        <v>27</v>
      </c>
      <c r="H11">
        <v>86666.32</v>
      </c>
      <c r="I11">
        <v>19</v>
      </c>
      <c r="J11" t="s">
        <v>28</v>
      </c>
      <c r="K11" t="s">
        <v>44</v>
      </c>
      <c r="L11" t="s">
        <v>30</v>
      </c>
      <c r="M11" t="s">
        <v>58</v>
      </c>
    </row>
    <row r="12" spans="1:13" x14ac:dyDescent="0.3">
      <c r="A12" t="s">
        <v>62</v>
      </c>
      <c r="B12" t="s">
        <v>63</v>
      </c>
      <c r="C12">
        <v>86</v>
      </c>
      <c r="D12" t="s">
        <v>15</v>
      </c>
      <c r="E12" t="s">
        <v>64</v>
      </c>
      <c r="F12" t="s">
        <v>17</v>
      </c>
      <c r="G12" t="s">
        <v>27</v>
      </c>
      <c r="H12">
        <v>110103.3</v>
      </c>
      <c r="I12">
        <v>18</v>
      </c>
      <c r="J12" t="s">
        <v>19</v>
      </c>
      <c r="K12" t="s">
        <v>29</v>
      </c>
      <c r="L12" t="s">
        <v>45</v>
      </c>
      <c r="M12" t="s">
        <v>31</v>
      </c>
    </row>
    <row r="13" spans="1:13" x14ac:dyDescent="0.3">
      <c r="A13" t="s">
        <v>65</v>
      </c>
      <c r="B13" t="s">
        <v>66</v>
      </c>
      <c r="C13">
        <v>25</v>
      </c>
      <c r="D13" t="s">
        <v>15</v>
      </c>
      <c r="E13" t="s">
        <v>16</v>
      </c>
      <c r="F13" t="s">
        <v>26</v>
      </c>
      <c r="G13" t="s">
        <v>27</v>
      </c>
      <c r="H13">
        <v>122067.05</v>
      </c>
      <c r="I13">
        <v>7</v>
      </c>
      <c r="J13" t="s">
        <v>28</v>
      </c>
      <c r="K13" t="s">
        <v>29</v>
      </c>
      <c r="L13" t="s">
        <v>21</v>
      </c>
      <c r="M13" t="s">
        <v>58</v>
      </c>
    </row>
    <row r="14" spans="1:13" x14ac:dyDescent="0.3">
      <c r="A14" t="s">
        <v>67</v>
      </c>
      <c r="B14" t="s">
        <v>68</v>
      </c>
      <c r="C14">
        <v>29</v>
      </c>
      <c r="D14" t="s">
        <v>34</v>
      </c>
      <c r="E14" t="s">
        <v>35</v>
      </c>
      <c r="F14" t="s">
        <v>61</v>
      </c>
      <c r="G14" t="s">
        <v>36</v>
      </c>
      <c r="H14">
        <v>116549.89</v>
      </c>
      <c r="I14">
        <v>2</v>
      </c>
      <c r="J14" t="s">
        <v>28</v>
      </c>
      <c r="K14" t="s">
        <v>69</v>
      </c>
      <c r="L14" t="s">
        <v>21</v>
      </c>
      <c r="M14" t="s">
        <v>22</v>
      </c>
    </row>
    <row r="15" spans="1:13" x14ac:dyDescent="0.3">
      <c r="A15" t="s">
        <v>70</v>
      </c>
      <c r="B15" t="s">
        <v>71</v>
      </c>
      <c r="C15">
        <v>56</v>
      </c>
      <c r="D15" t="s">
        <v>15</v>
      </c>
      <c r="E15" t="s">
        <v>35</v>
      </c>
      <c r="F15" t="s">
        <v>17</v>
      </c>
      <c r="G15" t="s">
        <v>36</v>
      </c>
      <c r="H15">
        <v>70873.509999999995</v>
      </c>
      <c r="I15">
        <v>16</v>
      </c>
      <c r="J15" t="s">
        <v>19</v>
      </c>
      <c r="K15" t="s">
        <v>39</v>
      </c>
      <c r="L15" t="s">
        <v>21</v>
      </c>
      <c r="M15" t="s">
        <v>58</v>
      </c>
    </row>
    <row r="16" spans="1:13" x14ac:dyDescent="0.3">
      <c r="A16" t="s">
        <v>72</v>
      </c>
      <c r="B16" t="s">
        <v>73</v>
      </c>
      <c r="C16">
        <v>79</v>
      </c>
      <c r="D16" t="s">
        <v>15</v>
      </c>
      <c r="E16" t="s">
        <v>64</v>
      </c>
      <c r="F16" t="s">
        <v>26</v>
      </c>
      <c r="G16" t="s">
        <v>27</v>
      </c>
      <c r="H16">
        <v>104078.5</v>
      </c>
      <c r="I16">
        <v>11</v>
      </c>
      <c r="J16" t="s">
        <v>28</v>
      </c>
      <c r="K16" t="s">
        <v>74</v>
      </c>
      <c r="L16" t="s">
        <v>21</v>
      </c>
      <c r="M16" t="s">
        <v>58</v>
      </c>
    </row>
    <row r="17" spans="1:13" x14ac:dyDescent="0.3">
      <c r="A17" t="s">
        <v>75</v>
      </c>
      <c r="B17" t="s">
        <v>76</v>
      </c>
      <c r="C17">
        <v>36</v>
      </c>
      <c r="D17" t="s">
        <v>34</v>
      </c>
      <c r="E17" t="s">
        <v>64</v>
      </c>
      <c r="F17" t="s">
        <v>26</v>
      </c>
      <c r="G17" t="s">
        <v>27</v>
      </c>
      <c r="H17">
        <v>68195.850000000006</v>
      </c>
      <c r="I17">
        <v>7</v>
      </c>
      <c r="J17" t="s">
        <v>19</v>
      </c>
      <c r="K17" t="s">
        <v>20</v>
      </c>
      <c r="L17" t="s">
        <v>30</v>
      </c>
      <c r="M17" t="s">
        <v>22</v>
      </c>
    </row>
    <row r="18" spans="1:13" x14ac:dyDescent="0.3">
      <c r="A18" t="s">
        <v>77</v>
      </c>
      <c r="B18" t="s">
        <v>78</v>
      </c>
      <c r="C18">
        <v>33</v>
      </c>
      <c r="D18" t="s">
        <v>34</v>
      </c>
      <c r="E18" t="s">
        <v>64</v>
      </c>
      <c r="F18" t="s">
        <v>79</v>
      </c>
      <c r="G18" t="s">
        <v>80</v>
      </c>
      <c r="H18">
        <v>75997.38</v>
      </c>
      <c r="I18">
        <v>5</v>
      </c>
      <c r="J18" t="s">
        <v>19</v>
      </c>
      <c r="K18" t="s">
        <v>74</v>
      </c>
      <c r="L18" t="s">
        <v>40</v>
      </c>
      <c r="M18" t="s">
        <v>22</v>
      </c>
    </row>
    <row r="19" spans="1:13" x14ac:dyDescent="0.3">
      <c r="A19" t="s">
        <v>81</v>
      </c>
      <c r="B19" t="s">
        <v>82</v>
      </c>
      <c r="C19">
        <v>75</v>
      </c>
      <c r="D19" t="s">
        <v>34</v>
      </c>
      <c r="E19" t="s">
        <v>83</v>
      </c>
      <c r="F19" t="s">
        <v>84</v>
      </c>
      <c r="G19" t="s">
        <v>43</v>
      </c>
      <c r="H19">
        <v>109978.78</v>
      </c>
      <c r="I19">
        <v>4</v>
      </c>
      <c r="J19" t="s">
        <v>28</v>
      </c>
      <c r="K19" t="s">
        <v>29</v>
      </c>
      <c r="L19" t="s">
        <v>51</v>
      </c>
      <c r="M19" t="s">
        <v>58</v>
      </c>
    </row>
    <row r="20" spans="1:13" x14ac:dyDescent="0.3">
      <c r="A20" t="s">
        <v>85</v>
      </c>
      <c r="B20" t="s">
        <v>86</v>
      </c>
      <c r="C20">
        <v>80</v>
      </c>
      <c r="D20" t="s">
        <v>15</v>
      </c>
      <c r="E20" t="s">
        <v>16</v>
      </c>
      <c r="F20" t="s">
        <v>26</v>
      </c>
      <c r="G20" t="s">
        <v>36</v>
      </c>
      <c r="H20">
        <v>27784.57</v>
      </c>
      <c r="I20">
        <v>8</v>
      </c>
      <c r="J20" t="s">
        <v>28</v>
      </c>
      <c r="K20" t="s">
        <v>20</v>
      </c>
      <c r="L20" t="s">
        <v>21</v>
      </c>
      <c r="M20" t="s">
        <v>22</v>
      </c>
    </row>
    <row r="21" spans="1:13" x14ac:dyDescent="0.3">
      <c r="A21" t="s">
        <v>87</v>
      </c>
      <c r="B21" t="s">
        <v>88</v>
      </c>
      <c r="C21">
        <v>1</v>
      </c>
      <c r="D21" t="s">
        <v>15</v>
      </c>
      <c r="E21" t="s">
        <v>83</v>
      </c>
      <c r="F21" t="s">
        <v>89</v>
      </c>
      <c r="G21" t="s">
        <v>36</v>
      </c>
      <c r="H21">
        <v>88531.74</v>
      </c>
      <c r="I21">
        <v>15</v>
      </c>
      <c r="J21" t="s">
        <v>28</v>
      </c>
      <c r="K21" t="s">
        <v>20</v>
      </c>
      <c r="L21" t="s">
        <v>51</v>
      </c>
      <c r="M21" t="s">
        <v>22</v>
      </c>
    </row>
    <row r="22" spans="1:13" x14ac:dyDescent="0.3">
      <c r="A22" t="s">
        <v>90</v>
      </c>
      <c r="B22" t="s">
        <v>91</v>
      </c>
      <c r="C22">
        <v>21</v>
      </c>
      <c r="D22" t="s">
        <v>34</v>
      </c>
      <c r="E22" t="s">
        <v>25</v>
      </c>
      <c r="F22" t="s">
        <v>26</v>
      </c>
      <c r="G22" t="s">
        <v>54</v>
      </c>
      <c r="H22">
        <v>32238.98</v>
      </c>
      <c r="I22">
        <v>15</v>
      </c>
      <c r="J22" t="s">
        <v>28</v>
      </c>
      <c r="K22" t="s">
        <v>20</v>
      </c>
      <c r="L22" t="s">
        <v>40</v>
      </c>
      <c r="M22" t="s">
        <v>31</v>
      </c>
    </row>
    <row r="23" spans="1:13" x14ac:dyDescent="0.3">
      <c r="A23" t="s">
        <v>92</v>
      </c>
      <c r="B23" t="s">
        <v>93</v>
      </c>
      <c r="C23">
        <v>13</v>
      </c>
      <c r="D23" t="s">
        <v>34</v>
      </c>
      <c r="E23" t="s">
        <v>16</v>
      </c>
      <c r="F23" t="s">
        <v>79</v>
      </c>
      <c r="G23" t="s">
        <v>18</v>
      </c>
      <c r="H23">
        <v>88927.92</v>
      </c>
      <c r="I23">
        <v>15</v>
      </c>
      <c r="J23" t="s">
        <v>28</v>
      </c>
      <c r="K23" t="s">
        <v>50</v>
      </c>
      <c r="L23" t="s">
        <v>40</v>
      </c>
      <c r="M23" t="s">
        <v>22</v>
      </c>
    </row>
    <row r="24" spans="1:13" x14ac:dyDescent="0.3">
      <c r="A24" t="s">
        <v>94</v>
      </c>
      <c r="B24" t="s">
        <v>95</v>
      </c>
      <c r="C24">
        <v>6</v>
      </c>
      <c r="D24" t="s">
        <v>15</v>
      </c>
      <c r="E24" t="s">
        <v>16</v>
      </c>
      <c r="F24" t="s">
        <v>26</v>
      </c>
      <c r="G24" t="s">
        <v>80</v>
      </c>
      <c r="H24">
        <v>9449.43</v>
      </c>
      <c r="I24">
        <v>20</v>
      </c>
      <c r="J24" t="s">
        <v>19</v>
      </c>
      <c r="K24" t="s">
        <v>20</v>
      </c>
      <c r="L24" t="s">
        <v>21</v>
      </c>
      <c r="M24" t="s">
        <v>22</v>
      </c>
    </row>
    <row r="25" spans="1:13" x14ac:dyDescent="0.3">
      <c r="A25" t="s">
        <v>96</v>
      </c>
      <c r="B25" t="s">
        <v>97</v>
      </c>
      <c r="C25">
        <v>51</v>
      </c>
      <c r="D25" t="s">
        <v>15</v>
      </c>
      <c r="E25" t="s">
        <v>64</v>
      </c>
      <c r="F25" t="s">
        <v>17</v>
      </c>
      <c r="G25" t="s">
        <v>27</v>
      </c>
      <c r="H25">
        <v>51181.29</v>
      </c>
      <c r="I25">
        <v>2</v>
      </c>
      <c r="J25" t="s">
        <v>28</v>
      </c>
      <c r="K25" t="s">
        <v>20</v>
      </c>
      <c r="L25" t="s">
        <v>51</v>
      </c>
      <c r="M25" t="s">
        <v>22</v>
      </c>
    </row>
    <row r="26" spans="1:13" x14ac:dyDescent="0.3">
      <c r="A26" t="s">
        <v>98</v>
      </c>
      <c r="B26" t="s">
        <v>99</v>
      </c>
      <c r="C26">
        <v>60</v>
      </c>
      <c r="D26" t="s">
        <v>15</v>
      </c>
      <c r="E26" t="s">
        <v>25</v>
      </c>
      <c r="F26" t="s">
        <v>17</v>
      </c>
      <c r="G26" t="s">
        <v>36</v>
      </c>
      <c r="H26">
        <v>53120.21</v>
      </c>
      <c r="I26">
        <v>20</v>
      </c>
      <c r="J26" t="s">
        <v>19</v>
      </c>
      <c r="K26" t="s">
        <v>44</v>
      </c>
      <c r="L26" t="s">
        <v>40</v>
      </c>
      <c r="M26" t="s">
        <v>58</v>
      </c>
    </row>
    <row r="27" spans="1:13" x14ac:dyDescent="0.3">
      <c r="A27" t="s">
        <v>100</v>
      </c>
      <c r="B27" t="s">
        <v>101</v>
      </c>
      <c r="C27">
        <v>41</v>
      </c>
      <c r="D27" t="s">
        <v>15</v>
      </c>
      <c r="E27" t="s">
        <v>25</v>
      </c>
      <c r="F27" t="s">
        <v>89</v>
      </c>
      <c r="G27" t="s">
        <v>18</v>
      </c>
      <c r="H27">
        <v>8090.03</v>
      </c>
      <c r="I27">
        <v>2</v>
      </c>
      <c r="J27" t="s">
        <v>19</v>
      </c>
      <c r="K27" t="s">
        <v>74</v>
      </c>
      <c r="L27" t="s">
        <v>45</v>
      </c>
      <c r="M27" t="s">
        <v>22</v>
      </c>
    </row>
    <row r="28" spans="1:13" x14ac:dyDescent="0.3">
      <c r="A28" t="s">
        <v>102</v>
      </c>
      <c r="B28" t="s">
        <v>103</v>
      </c>
      <c r="C28">
        <v>82</v>
      </c>
      <c r="D28" t="s">
        <v>34</v>
      </c>
      <c r="E28" t="s">
        <v>25</v>
      </c>
      <c r="F28" t="s">
        <v>17</v>
      </c>
      <c r="G28" t="s">
        <v>54</v>
      </c>
      <c r="H28">
        <v>96415.99</v>
      </c>
      <c r="I28">
        <v>19</v>
      </c>
      <c r="J28" t="s">
        <v>28</v>
      </c>
      <c r="K28" t="s">
        <v>55</v>
      </c>
      <c r="L28" t="s">
        <v>40</v>
      </c>
      <c r="M28" t="s">
        <v>31</v>
      </c>
    </row>
    <row r="29" spans="1:13" x14ac:dyDescent="0.3">
      <c r="A29" t="s">
        <v>104</v>
      </c>
      <c r="B29" t="s">
        <v>105</v>
      </c>
      <c r="C29">
        <v>31</v>
      </c>
      <c r="D29" t="s">
        <v>34</v>
      </c>
      <c r="E29" t="s">
        <v>64</v>
      </c>
      <c r="F29" t="s">
        <v>17</v>
      </c>
      <c r="G29" t="s">
        <v>43</v>
      </c>
      <c r="H29">
        <v>99887.11</v>
      </c>
      <c r="I29">
        <v>2</v>
      </c>
      <c r="J29" t="s">
        <v>28</v>
      </c>
      <c r="K29" t="s">
        <v>55</v>
      </c>
      <c r="L29" t="s">
        <v>21</v>
      </c>
      <c r="M29" t="s">
        <v>31</v>
      </c>
    </row>
    <row r="30" spans="1:13" x14ac:dyDescent="0.3">
      <c r="A30" t="s">
        <v>106</v>
      </c>
      <c r="B30" t="s">
        <v>107</v>
      </c>
      <c r="C30">
        <v>14</v>
      </c>
      <c r="D30" t="s">
        <v>15</v>
      </c>
      <c r="E30" t="s">
        <v>25</v>
      </c>
      <c r="F30" t="s">
        <v>84</v>
      </c>
      <c r="G30" t="s">
        <v>54</v>
      </c>
      <c r="H30">
        <v>87404.64</v>
      </c>
      <c r="I30">
        <v>7</v>
      </c>
      <c r="J30" t="s">
        <v>19</v>
      </c>
      <c r="K30" t="s">
        <v>74</v>
      </c>
      <c r="L30" t="s">
        <v>45</v>
      </c>
      <c r="M30" t="s">
        <v>31</v>
      </c>
    </row>
    <row r="31" spans="1:13" x14ac:dyDescent="0.3">
      <c r="A31" t="s">
        <v>108</v>
      </c>
      <c r="B31" t="s">
        <v>109</v>
      </c>
      <c r="C31">
        <v>32</v>
      </c>
      <c r="D31" t="s">
        <v>15</v>
      </c>
      <c r="E31" t="s">
        <v>25</v>
      </c>
      <c r="F31" t="s">
        <v>79</v>
      </c>
      <c r="G31" t="s">
        <v>27</v>
      </c>
      <c r="H31">
        <v>13303.43</v>
      </c>
      <c r="I31">
        <v>4</v>
      </c>
      <c r="J31" t="s">
        <v>19</v>
      </c>
      <c r="K31" t="s">
        <v>20</v>
      </c>
      <c r="L31" t="s">
        <v>40</v>
      </c>
      <c r="M31" t="s">
        <v>58</v>
      </c>
    </row>
    <row r="32" spans="1:13" x14ac:dyDescent="0.3">
      <c r="A32" t="s">
        <v>110</v>
      </c>
      <c r="B32" t="s">
        <v>111</v>
      </c>
      <c r="C32">
        <v>63</v>
      </c>
      <c r="D32" t="s">
        <v>34</v>
      </c>
      <c r="E32" t="s">
        <v>16</v>
      </c>
      <c r="F32" t="s">
        <v>17</v>
      </c>
      <c r="G32" t="s">
        <v>54</v>
      </c>
      <c r="H32">
        <v>95123.17</v>
      </c>
      <c r="I32">
        <v>11</v>
      </c>
      <c r="J32" t="s">
        <v>19</v>
      </c>
      <c r="K32" t="s">
        <v>74</v>
      </c>
      <c r="L32" t="s">
        <v>112</v>
      </c>
      <c r="M32" t="s">
        <v>58</v>
      </c>
    </row>
    <row r="33" spans="1:13" x14ac:dyDescent="0.3">
      <c r="A33" t="s">
        <v>113</v>
      </c>
      <c r="B33" t="s">
        <v>114</v>
      </c>
      <c r="C33">
        <v>61</v>
      </c>
      <c r="D33" t="s">
        <v>34</v>
      </c>
      <c r="E33" t="s">
        <v>25</v>
      </c>
      <c r="F33" t="s">
        <v>26</v>
      </c>
      <c r="G33" t="s">
        <v>80</v>
      </c>
      <c r="H33">
        <v>103754.64</v>
      </c>
      <c r="I33">
        <v>10</v>
      </c>
      <c r="J33" t="s">
        <v>28</v>
      </c>
      <c r="K33" t="s">
        <v>74</v>
      </c>
      <c r="L33" t="s">
        <v>40</v>
      </c>
      <c r="M33" t="s">
        <v>58</v>
      </c>
    </row>
    <row r="34" spans="1:13" x14ac:dyDescent="0.3">
      <c r="A34" t="s">
        <v>115</v>
      </c>
      <c r="B34" t="s">
        <v>116</v>
      </c>
      <c r="C34">
        <v>8</v>
      </c>
      <c r="D34" t="s">
        <v>15</v>
      </c>
      <c r="E34" t="s">
        <v>117</v>
      </c>
      <c r="F34" t="s">
        <v>84</v>
      </c>
      <c r="G34" t="s">
        <v>80</v>
      </c>
      <c r="H34">
        <v>23529.96</v>
      </c>
      <c r="I34">
        <v>6</v>
      </c>
      <c r="J34" t="s">
        <v>19</v>
      </c>
      <c r="K34" t="s">
        <v>39</v>
      </c>
      <c r="L34" t="s">
        <v>51</v>
      </c>
      <c r="M34" t="s">
        <v>31</v>
      </c>
    </row>
    <row r="35" spans="1:13" x14ac:dyDescent="0.3">
      <c r="A35" t="s">
        <v>118</v>
      </c>
      <c r="B35" t="s">
        <v>119</v>
      </c>
      <c r="C35">
        <v>13</v>
      </c>
      <c r="D35" t="s">
        <v>15</v>
      </c>
      <c r="E35" t="s">
        <v>16</v>
      </c>
      <c r="F35" t="s">
        <v>89</v>
      </c>
      <c r="G35" t="s">
        <v>36</v>
      </c>
      <c r="H35">
        <v>119520.06</v>
      </c>
      <c r="I35">
        <v>10</v>
      </c>
      <c r="J35" t="s">
        <v>19</v>
      </c>
      <c r="K35" t="s">
        <v>69</v>
      </c>
      <c r="L35" t="s">
        <v>112</v>
      </c>
      <c r="M35" t="s">
        <v>22</v>
      </c>
    </row>
    <row r="36" spans="1:13" x14ac:dyDescent="0.3">
      <c r="A36" t="s">
        <v>120</v>
      </c>
      <c r="B36" t="s">
        <v>121</v>
      </c>
      <c r="C36">
        <v>55</v>
      </c>
      <c r="D36" t="s">
        <v>15</v>
      </c>
      <c r="E36" t="s">
        <v>16</v>
      </c>
      <c r="F36" t="s">
        <v>79</v>
      </c>
      <c r="G36" t="s">
        <v>54</v>
      </c>
      <c r="H36">
        <v>20160.990000000002</v>
      </c>
      <c r="I36">
        <v>7</v>
      </c>
      <c r="J36" t="s">
        <v>19</v>
      </c>
      <c r="K36" t="s">
        <v>50</v>
      </c>
      <c r="L36" t="s">
        <v>30</v>
      </c>
      <c r="M36" t="s">
        <v>22</v>
      </c>
    </row>
    <row r="37" spans="1:13" x14ac:dyDescent="0.3">
      <c r="A37" t="s">
        <v>122</v>
      </c>
      <c r="B37" t="s">
        <v>123</v>
      </c>
      <c r="C37">
        <v>85</v>
      </c>
      <c r="D37" t="s">
        <v>15</v>
      </c>
      <c r="E37" t="s">
        <v>35</v>
      </c>
      <c r="F37" t="s">
        <v>84</v>
      </c>
      <c r="G37" t="s">
        <v>80</v>
      </c>
      <c r="H37">
        <v>123710.9</v>
      </c>
      <c r="I37">
        <v>1</v>
      </c>
      <c r="J37" t="s">
        <v>28</v>
      </c>
      <c r="K37" t="s">
        <v>20</v>
      </c>
      <c r="L37" t="s">
        <v>51</v>
      </c>
      <c r="M37" t="s">
        <v>22</v>
      </c>
    </row>
    <row r="38" spans="1:13" x14ac:dyDescent="0.3">
      <c r="A38" t="s">
        <v>124</v>
      </c>
      <c r="B38" t="s">
        <v>125</v>
      </c>
      <c r="C38">
        <v>5</v>
      </c>
      <c r="D38" t="s">
        <v>34</v>
      </c>
      <c r="E38" t="s">
        <v>25</v>
      </c>
      <c r="F38" t="s">
        <v>79</v>
      </c>
      <c r="G38" t="s">
        <v>54</v>
      </c>
      <c r="H38">
        <v>39782.79</v>
      </c>
      <c r="I38">
        <v>13</v>
      </c>
      <c r="J38" t="s">
        <v>28</v>
      </c>
      <c r="K38" t="s">
        <v>69</v>
      </c>
      <c r="L38" t="s">
        <v>21</v>
      </c>
      <c r="M38" t="s">
        <v>31</v>
      </c>
    </row>
    <row r="39" spans="1:13" x14ac:dyDescent="0.3">
      <c r="A39" t="s">
        <v>126</v>
      </c>
      <c r="B39" t="s">
        <v>127</v>
      </c>
      <c r="C39">
        <v>86</v>
      </c>
      <c r="D39" t="s">
        <v>34</v>
      </c>
      <c r="E39" t="s">
        <v>83</v>
      </c>
      <c r="F39" t="s">
        <v>84</v>
      </c>
      <c r="G39" t="s">
        <v>43</v>
      </c>
      <c r="H39">
        <v>123571.65</v>
      </c>
      <c r="I39">
        <v>11</v>
      </c>
      <c r="J39" t="s">
        <v>28</v>
      </c>
      <c r="K39" t="s">
        <v>69</v>
      </c>
      <c r="L39" t="s">
        <v>51</v>
      </c>
      <c r="M39" t="s">
        <v>31</v>
      </c>
    </row>
    <row r="40" spans="1:13" x14ac:dyDescent="0.3">
      <c r="A40" t="s">
        <v>128</v>
      </c>
      <c r="B40" t="s">
        <v>129</v>
      </c>
      <c r="C40">
        <v>17</v>
      </c>
      <c r="D40" t="s">
        <v>34</v>
      </c>
      <c r="E40" t="s">
        <v>25</v>
      </c>
      <c r="F40" t="s">
        <v>79</v>
      </c>
      <c r="G40" t="s">
        <v>54</v>
      </c>
      <c r="H40">
        <v>97311.48</v>
      </c>
      <c r="I40">
        <v>4</v>
      </c>
      <c r="J40" t="s">
        <v>28</v>
      </c>
      <c r="K40" t="s">
        <v>39</v>
      </c>
      <c r="L40" t="s">
        <v>40</v>
      </c>
      <c r="M40" t="s">
        <v>22</v>
      </c>
    </row>
    <row r="41" spans="1:13" x14ac:dyDescent="0.3">
      <c r="A41" t="s">
        <v>130</v>
      </c>
      <c r="B41" t="s">
        <v>131</v>
      </c>
      <c r="C41">
        <v>67</v>
      </c>
      <c r="D41" t="s">
        <v>34</v>
      </c>
      <c r="E41" t="s">
        <v>83</v>
      </c>
      <c r="F41" t="s">
        <v>84</v>
      </c>
      <c r="G41" t="s">
        <v>80</v>
      </c>
      <c r="H41">
        <v>145885.35</v>
      </c>
      <c r="I41">
        <v>11</v>
      </c>
      <c r="J41" t="s">
        <v>19</v>
      </c>
      <c r="K41" t="s">
        <v>69</v>
      </c>
      <c r="L41" t="s">
        <v>21</v>
      </c>
      <c r="M41" t="s">
        <v>58</v>
      </c>
    </row>
    <row r="42" spans="1:13" x14ac:dyDescent="0.3">
      <c r="A42" t="s">
        <v>132</v>
      </c>
      <c r="B42" t="s">
        <v>133</v>
      </c>
      <c r="C42">
        <v>11</v>
      </c>
      <c r="D42" t="s">
        <v>34</v>
      </c>
      <c r="E42" t="s">
        <v>64</v>
      </c>
      <c r="F42" t="s">
        <v>26</v>
      </c>
      <c r="G42" t="s">
        <v>80</v>
      </c>
      <c r="H42">
        <v>82249.279999999999</v>
      </c>
      <c r="I42">
        <v>1</v>
      </c>
      <c r="J42" t="s">
        <v>28</v>
      </c>
      <c r="K42" t="s">
        <v>29</v>
      </c>
      <c r="L42" t="s">
        <v>45</v>
      </c>
      <c r="M42" t="s">
        <v>22</v>
      </c>
    </row>
    <row r="43" spans="1:13" x14ac:dyDescent="0.3">
      <c r="A43" t="s">
        <v>134</v>
      </c>
      <c r="B43" t="s">
        <v>135</v>
      </c>
      <c r="C43">
        <v>57</v>
      </c>
      <c r="D43" t="s">
        <v>34</v>
      </c>
      <c r="E43" t="s">
        <v>64</v>
      </c>
      <c r="F43" t="s">
        <v>79</v>
      </c>
      <c r="G43" t="s">
        <v>54</v>
      </c>
      <c r="H43">
        <v>76192.3</v>
      </c>
      <c r="I43">
        <v>11</v>
      </c>
      <c r="J43" t="s">
        <v>19</v>
      </c>
      <c r="K43" t="s">
        <v>55</v>
      </c>
      <c r="L43" t="s">
        <v>112</v>
      </c>
      <c r="M43" t="s">
        <v>58</v>
      </c>
    </row>
    <row r="44" spans="1:13" x14ac:dyDescent="0.3">
      <c r="A44" t="s">
        <v>136</v>
      </c>
      <c r="B44" t="s">
        <v>137</v>
      </c>
      <c r="C44">
        <v>14</v>
      </c>
      <c r="D44" t="s">
        <v>15</v>
      </c>
      <c r="E44" t="s">
        <v>117</v>
      </c>
      <c r="F44" t="s">
        <v>84</v>
      </c>
      <c r="G44" t="s">
        <v>54</v>
      </c>
      <c r="H44">
        <v>11326.73</v>
      </c>
      <c r="I44">
        <v>9</v>
      </c>
      <c r="J44" t="s">
        <v>19</v>
      </c>
      <c r="K44" t="s">
        <v>55</v>
      </c>
      <c r="L44" t="s">
        <v>112</v>
      </c>
      <c r="M44" t="s">
        <v>58</v>
      </c>
    </row>
    <row r="45" spans="1:13" x14ac:dyDescent="0.3">
      <c r="A45" t="s">
        <v>138</v>
      </c>
      <c r="B45" t="s">
        <v>139</v>
      </c>
      <c r="C45">
        <v>60</v>
      </c>
      <c r="D45" t="s">
        <v>34</v>
      </c>
      <c r="E45" t="s">
        <v>117</v>
      </c>
      <c r="F45" t="s">
        <v>79</v>
      </c>
      <c r="G45" t="s">
        <v>36</v>
      </c>
      <c r="H45">
        <v>21347.9</v>
      </c>
      <c r="I45">
        <v>11</v>
      </c>
      <c r="J45" t="s">
        <v>28</v>
      </c>
      <c r="K45" t="s">
        <v>74</v>
      </c>
      <c r="L45" t="s">
        <v>30</v>
      </c>
      <c r="M45" t="s">
        <v>22</v>
      </c>
    </row>
    <row r="46" spans="1:13" x14ac:dyDescent="0.3">
      <c r="A46" t="s">
        <v>140</v>
      </c>
      <c r="B46" t="s">
        <v>141</v>
      </c>
      <c r="C46">
        <v>72</v>
      </c>
      <c r="D46" t="s">
        <v>15</v>
      </c>
      <c r="E46" t="s">
        <v>35</v>
      </c>
      <c r="F46" t="s">
        <v>17</v>
      </c>
      <c r="G46" t="s">
        <v>36</v>
      </c>
      <c r="H46">
        <v>73973.440000000002</v>
      </c>
      <c r="I46">
        <v>20</v>
      </c>
      <c r="J46" t="s">
        <v>19</v>
      </c>
      <c r="K46" t="s">
        <v>20</v>
      </c>
      <c r="L46" t="s">
        <v>21</v>
      </c>
      <c r="M46" t="s">
        <v>58</v>
      </c>
    </row>
    <row r="47" spans="1:13" x14ac:dyDescent="0.3">
      <c r="A47" t="s">
        <v>142</v>
      </c>
      <c r="B47" t="s">
        <v>143</v>
      </c>
      <c r="C47">
        <v>69</v>
      </c>
      <c r="D47" t="s">
        <v>34</v>
      </c>
      <c r="E47" t="s">
        <v>16</v>
      </c>
      <c r="F47" t="s">
        <v>17</v>
      </c>
      <c r="G47" t="s">
        <v>43</v>
      </c>
      <c r="H47">
        <v>58581.38</v>
      </c>
      <c r="I47">
        <v>9</v>
      </c>
      <c r="J47" t="s">
        <v>28</v>
      </c>
      <c r="K47" t="s">
        <v>55</v>
      </c>
      <c r="L47" t="s">
        <v>45</v>
      </c>
      <c r="M47" t="s">
        <v>22</v>
      </c>
    </row>
    <row r="48" spans="1:13" x14ac:dyDescent="0.3">
      <c r="A48" t="s">
        <v>144</v>
      </c>
      <c r="B48" t="s">
        <v>97</v>
      </c>
      <c r="C48">
        <v>37</v>
      </c>
      <c r="D48" t="s">
        <v>15</v>
      </c>
      <c r="E48" t="s">
        <v>83</v>
      </c>
      <c r="F48" t="s">
        <v>89</v>
      </c>
      <c r="G48" t="s">
        <v>43</v>
      </c>
      <c r="H48">
        <v>97552.66</v>
      </c>
      <c r="I48">
        <v>10</v>
      </c>
      <c r="J48" t="s">
        <v>28</v>
      </c>
      <c r="K48" t="s">
        <v>50</v>
      </c>
      <c r="L48" t="s">
        <v>30</v>
      </c>
      <c r="M48" t="s">
        <v>31</v>
      </c>
    </row>
    <row r="49" spans="1:13" x14ac:dyDescent="0.3">
      <c r="A49" t="s">
        <v>145</v>
      </c>
      <c r="B49" t="s">
        <v>146</v>
      </c>
      <c r="C49">
        <v>6</v>
      </c>
      <c r="D49" t="s">
        <v>15</v>
      </c>
      <c r="E49" t="s">
        <v>83</v>
      </c>
      <c r="F49" t="s">
        <v>61</v>
      </c>
      <c r="G49" t="s">
        <v>27</v>
      </c>
      <c r="H49">
        <v>65046.71</v>
      </c>
      <c r="I49">
        <v>6</v>
      </c>
      <c r="J49" t="s">
        <v>28</v>
      </c>
      <c r="K49" t="s">
        <v>69</v>
      </c>
      <c r="L49" t="s">
        <v>40</v>
      </c>
      <c r="M49" t="s">
        <v>22</v>
      </c>
    </row>
    <row r="50" spans="1:13" x14ac:dyDescent="0.3">
      <c r="A50" t="s">
        <v>147</v>
      </c>
      <c r="B50" t="s">
        <v>148</v>
      </c>
      <c r="C50">
        <v>68</v>
      </c>
      <c r="D50" t="s">
        <v>34</v>
      </c>
      <c r="E50" t="s">
        <v>83</v>
      </c>
      <c r="F50" t="s">
        <v>61</v>
      </c>
      <c r="G50" t="s">
        <v>43</v>
      </c>
      <c r="H50">
        <v>134089.92000000001</v>
      </c>
      <c r="I50">
        <v>17</v>
      </c>
      <c r="J50" t="s">
        <v>28</v>
      </c>
      <c r="K50" t="s">
        <v>50</v>
      </c>
      <c r="L50" t="s">
        <v>51</v>
      </c>
      <c r="M50" t="s">
        <v>31</v>
      </c>
    </row>
    <row r="51" spans="1:13" x14ac:dyDescent="0.3">
      <c r="A51" t="s">
        <v>149</v>
      </c>
      <c r="B51" t="s">
        <v>150</v>
      </c>
      <c r="C51">
        <v>32</v>
      </c>
      <c r="D51" t="s">
        <v>34</v>
      </c>
      <c r="E51" t="s">
        <v>83</v>
      </c>
      <c r="F51" t="s">
        <v>17</v>
      </c>
      <c r="G51" t="s">
        <v>43</v>
      </c>
      <c r="H51">
        <v>52536.94</v>
      </c>
      <c r="I51">
        <v>19</v>
      </c>
      <c r="J51" t="s">
        <v>19</v>
      </c>
      <c r="K51" t="s">
        <v>55</v>
      </c>
      <c r="L51" t="s">
        <v>40</v>
      </c>
      <c r="M51" t="s">
        <v>31</v>
      </c>
    </row>
    <row r="52" spans="1:13" x14ac:dyDescent="0.3">
      <c r="A52" t="s">
        <v>151</v>
      </c>
      <c r="B52" t="s">
        <v>152</v>
      </c>
      <c r="C52">
        <v>89</v>
      </c>
      <c r="D52" t="s">
        <v>34</v>
      </c>
      <c r="E52" t="s">
        <v>83</v>
      </c>
      <c r="F52" t="s">
        <v>61</v>
      </c>
      <c r="G52" t="s">
        <v>43</v>
      </c>
      <c r="H52">
        <v>46519.95</v>
      </c>
      <c r="I52">
        <v>15</v>
      </c>
      <c r="J52" t="s">
        <v>19</v>
      </c>
      <c r="K52" t="s">
        <v>44</v>
      </c>
      <c r="L52" t="s">
        <v>112</v>
      </c>
      <c r="M52" t="s">
        <v>58</v>
      </c>
    </row>
    <row r="53" spans="1:13" x14ac:dyDescent="0.3">
      <c r="A53" t="s">
        <v>153</v>
      </c>
      <c r="B53" t="s">
        <v>154</v>
      </c>
      <c r="C53">
        <v>15</v>
      </c>
      <c r="D53" t="s">
        <v>15</v>
      </c>
      <c r="E53" t="s">
        <v>83</v>
      </c>
      <c r="F53" t="s">
        <v>17</v>
      </c>
      <c r="G53" t="s">
        <v>18</v>
      </c>
      <c r="H53">
        <v>36191.629999999997</v>
      </c>
      <c r="I53">
        <v>19</v>
      </c>
      <c r="J53" t="s">
        <v>28</v>
      </c>
      <c r="K53" t="s">
        <v>50</v>
      </c>
      <c r="L53" t="s">
        <v>45</v>
      </c>
      <c r="M53" t="s">
        <v>31</v>
      </c>
    </row>
    <row r="54" spans="1:13" x14ac:dyDescent="0.3">
      <c r="A54" t="s">
        <v>155</v>
      </c>
      <c r="B54" t="s">
        <v>156</v>
      </c>
      <c r="C54">
        <v>82</v>
      </c>
      <c r="D54" t="s">
        <v>34</v>
      </c>
      <c r="E54" t="s">
        <v>64</v>
      </c>
      <c r="F54" t="s">
        <v>26</v>
      </c>
      <c r="G54" t="s">
        <v>27</v>
      </c>
      <c r="H54">
        <v>143595.04</v>
      </c>
      <c r="I54">
        <v>9</v>
      </c>
      <c r="J54" t="s">
        <v>19</v>
      </c>
      <c r="K54" t="s">
        <v>55</v>
      </c>
      <c r="L54" t="s">
        <v>112</v>
      </c>
      <c r="M54" t="s">
        <v>31</v>
      </c>
    </row>
    <row r="55" spans="1:13" x14ac:dyDescent="0.3">
      <c r="A55" t="s">
        <v>157</v>
      </c>
      <c r="B55" t="s">
        <v>158</v>
      </c>
      <c r="C55">
        <v>14</v>
      </c>
      <c r="D55" t="s">
        <v>34</v>
      </c>
      <c r="E55" t="s">
        <v>64</v>
      </c>
      <c r="F55" t="s">
        <v>17</v>
      </c>
      <c r="G55" t="s">
        <v>27</v>
      </c>
      <c r="H55">
        <v>75031.100000000006</v>
      </c>
      <c r="I55">
        <v>7</v>
      </c>
      <c r="J55" t="s">
        <v>28</v>
      </c>
      <c r="K55" t="s">
        <v>55</v>
      </c>
      <c r="L55" t="s">
        <v>112</v>
      </c>
      <c r="M55" t="s">
        <v>31</v>
      </c>
    </row>
    <row r="56" spans="1:13" x14ac:dyDescent="0.3">
      <c r="A56" t="s">
        <v>159</v>
      </c>
      <c r="B56" t="s">
        <v>160</v>
      </c>
      <c r="C56">
        <v>47</v>
      </c>
      <c r="D56" t="s">
        <v>34</v>
      </c>
      <c r="E56" t="s">
        <v>25</v>
      </c>
      <c r="F56" t="s">
        <v>79</v>
      </c>
      <c r="G56" t="s">
        <v>27</v>
      </c>
      <c r="H56">
        <v>110248.24</v>
      </c>
      <c r="I56">
        <v>6</v>
      </c>
      <c r="J56" t="s">
        <v>19</v>
      </c>
      <c r="K56" t="s">
        <v>39</v>
      </c>
      <c r="L56" t="s">
        <v>112</v>
      </c>
      <c r="M56" t="s">
        <v>22</v>
      </c>
    </row>
    <row r="57" spans="1:13" x14ac:dyDescent="0.3">
      <c r="A57" t="s">
        <v>161</v>
      </c>
      <c r="B57" t="s">
        <v>162</v>
      </c>
      <c r="C57">
        <v>21</v>
      </c>
      <c r="D57" t="s">
        <v>34</v>
      </c>
      <c r="E57" t="s">
        <v>117</v>
      </c>
      <c r="F57" t="s">
        <v>26</v>
      </c>
      <c r="G57" t="s">
        <v>80</v>
      </c>
      <c r="H57">
        <v>124985.54</v>
      </c>
      <c r="I57">
        <v>7</v>
      </c>
      <c r="J57" t="s">
        <v>19</v>
      </c>
      <c r="K57" t="s">
        <v>44</v>
      </c>
      <c r="L57" t="s">
        <v>40</v>
      </c>
      <c r="M57" t="s">
        <v>22</v>
      </c>
    </row>
    <row r="58" spans="1:13" x14ac:dyDescent="0.3">
      <c r="A58" t="s">
        <v>163</v>
      </c>
      <c r="B58" t="s">
        <v>164</v>
      </c>
      <c r="C58">
        <v>30</v>
      </c>
      <c r="D58" t="s">
        <v>15</v>
      </c>
      <c r="E58" t="s">
        <v>16</v>
      </c>
      <c r="F58" t="s">
        <v>84</v>
      </c>
      <c r="G58" t="s">
        <v>80</v>
      </c>
      <c r="H58">
        <v>113922.11</v>
      </c>
      <c r="I58">
        <v>5</v>
      </c>
      <c r="J58" t="s">
        <v>19</v>
      </c>
      <c r="K58" t="s">
        <v>69</v>
      </c>
      <c r="L58" t="s">
        <v>51</v>
      </c>
      <c r="M58" t="s">
        <v>22</v>
      </c>
    </row>
    <row r="59" spans="1:13" x14ac:dyDescent="0.3">
      <c r="A59" t="s">
        <v>165</v>
      </c>
      <c r="B59" t="s">
        <v>166</v>
      </c>
      <c r="C59">
        <v>62</v>
      </c>
      <c r="D59" t="s">
        <v>15</v>
      </c>
      <c r="E59" t="s">
        <v>25</v>
      </c>
      <c r="F59" t="s">
        <v>79</v>
      </c>
      <c r="G59" t="s">
        <v>36</v>
      </c>
      <c r="H59">
        <v>89423.9</v>
      </c>
      <c r="I59">
        <v>8</v>
      </c>
      <c r="J59" t="s">
        <v>28</v>
      </c>
      <c r="K59" t="s">
        <v>69</v>
      </c>
      <c r="L59" t="s">
        <v>112</v>
      </c>
      <c r="M59" t="s">
        <v>58</v>
      </c>
    </row>
    <row r="60" spans="1:13" x14ac:dyDescent="0.3">
      <c r="A60" t="s">
        <v>167</v>
      </c>
      <c r="B60" t="s">
        <v>168</v>
      </c>
      <c r="C60">
        <v>14</v>
      </c>
      <c r="D60" t="s">
        <v>15</v>
      </c>
      <c r="E60" t="s">
        <v>16</v>
      </c>
      <c r="F60" t="s">
        <v>26</v>
      </c>
      <c r="G60" t="s">
        <v>18</v>
      </c>
      <c r="H60">
        <v>49914.54</v>
      </c>
      <c r="I60">
        <v>9</v>
      </c>
      <c r="J60" t="s">
        <v>19</v>
      </c>
      <c r="K60" t="s">
        <v>74</v>
      </c>
      <c r="L60" t="s">
        <v>51</v>
      </c>
      <c r="M60" t="s">
        <v>58</v>
      </c>
    </row>
    <row r="61" spans="1:13" x14ac:dyDescent="0.3">
      <c r="A61" t="s">
        <v>169</v>
      </c>
      <c r="B61" t="s">
        <v>170</v>
      </c>
      <c r="C61">
        <v>30</v>
      </c>
      <c r="D61" t="s">
        <v>15</v>
      </c>
      <c r="E61" t="s">
        <v>117</v>
      </c>
      <c r="F61" t="s">
        <v>61</v>
      </c>
      <c r="G61" t="s">
        <v>27</v>
      </c>
      <c r="H61">
        <v>26144.25</v>
      </c>
      <c r="I61">
        <v>19</v>
      </c>
      <c r="J61" t="s">
        <v>19</v>
      </c>
      <c r="K61" t="s">
        <v>39</v>
      </c>
      <c r="L61" t="s">
        <v>40</v>
      </c>
      <c r="M61" t="s">
        <v>58</v>
      </c>
    </row>
    <row r="62" spans="1:13" x14ac:dyDescent="0.3">
      <c r="A62" t="s">
        <v>171</v>
      </c>
      <c r="B62" t="s">
        <v>172</v>
      </c>
      <c r="C62">
        <v>50</v>
      </c>
      <c r="D62" t="s">
        <v>34</v>
      </c>
      <c r="E62" t="s">
        <v>117</v>
      </c>
      <c r="F62" t="s">
        <v>26</v>
      </c>
      <c r="G62" t="s">
        <v>36</v>
      </c>
      <c r="H62">
        <v>23086.16</v>
      </c>
      <c r="I62">
        <v>16</v>
      </c>
      <c r="J62" t="s">
        <v>19</v>
      </c>
      <c r="K62" t="s">
        <v>39</v>
      </c>
      <c r="L62" t="s">
        <v>40</v>
      </c>
      <c r="M62" t="s">
        <v>31</v>
      </c>
    </row>
    <row r="63" spans="1:13" x14ac:dyDescent="0.3">
      <c r="A63" t="s">
        <v>173</v>
      </c>
      <c r="B63" t="s">
        <v>174</v>
      </c>
      <c r="C63">
        <v>57</v>
      </c>
      <c r="D63" t="s">
        <v>15</v>
      </c>
      <c r="E63" t="s">
        <v>83</v>
      </c>
      <c r="F63" t="s">
        <v>17</v>
      </c>
      <c r="G63" t="s">
        <v>18</v>
      </c>
      <c r="H63">
        <v>127632.57</v>
      </c>
      <c r="I63">
        <v>6</v>
      </c>
      <c r="J63" t="s">
        <v>19</v>
      </c>
      <c r="K63" t="s">
        <v>39</v>
      </c>
      <c r="L63" t="s">
        <v>112</v>
      </c>
      <c r="M63" t="s">
        <v>31</v>
      </c>
    </row>
    <row r="64" spans="1:13" x14ac:dyDescent="0.3">
      <c r="A64" t="s">
        <v>175</v>
      </c>
      <c r="B64" t="s">
        <v>176</v>
      </c>
      <c r="C64">
        <v>80</v>
      </c>
      <c r="D64" t="s">
        <v>15</v>
      </c>
      <c r="E64" t="s">
        <v>83</v>
      </c>
      <c r="F64" t="s">
        <v>89</v>
      </c>
      <c r="G64" t="s">
        <v>36</v>
      </c>
      <c r="H64">
        <v>49892.61</v>
      </c>
      <c r="I64">
        <v>3</v>
      </c>
      <c r="J64" t="s">
        <v>19</v>
      </c>
      <c r="K64" t="s">
        <v>50</v>
      </c>
      <c r="L64" t="s">
        <v>112</v>
      </c>
      <c r="M64" t="s">
        <v>58</v>
      </c>
    </row>
    <row r="65" spans="1:13" x14ac:dyDescent="0.3">
      <c r="A65" t="s">
        <v>177</v>
      </c>
      <c r="B65" t="s">
        <v>178</v>
      </c>
      <c r="C65">
        <v>16</v>
      </c>
      <c r="D65" t="s">
        <v>34</v>
      </c>
      <c r="E65" t="s">
        <v>83</v>
      </c>
      <c r="F65" t="s">
        <v>17</v>
      </c>
      <c r="G65" t="s">
        <v>36</v>
      </c>
      <c r="H65">
        <v>139213.01</v>
      </c>
      <c r="I65">
        <v>2</v>
      </c>
      <c r="J65" t="s">
        <v>28</v>
      </c>
      <c r="K65" t="s">
        <v>39</v>
      </c>
      <c r="L65" t="s">
        <v>112</v>
      </c>
      <c r="M65" t="s">
        <v>22</v>
      </c>
    </row>
    <row r="66" spans="1:13" x14ac:dyDescent="0.3">
      <c r="A66" t="s">
        <v>179</v>
      </c>
      <c r="B66" t="s">
        <v>180</v>
      </c>
      <c r="C66">
        <v>83</v>
      </c>
      <c r="D66" t="s">
        <v>34</v>
      </c>
      <c r="E66" t="s">
        <v>83</v>
      </c>
      <c r="F66" t="s">
        <v>89</v>
      </c>
      <c r="G66" t="s">
        <v>27</v>
      </c>
      <c r="H66">
        <v>144647.35</v>
      </c>
      <c r="I66">
        <v>11</v>
      </c>
      <c r="J66" t="s">
        <v>19</v>
      </c>
      <c r="K66" t="s">
        <v>44</v>
      </c>
      <c r="L66" t="s">
        <v>30</v>
      </c>
      <c r="M66" t="s">
        <v>22</v>
      </c>
    </row>
    <row r="67" spans="1:13" x14ac:dyDescent="0.3">
      <c r="A67" t="s">
        <v>181</v>
      </c>
      <c r="B67" t="s">
        <v>182</v>
      </c>
      <c r="C67">
        <v>73</v>
      </c>
      <c r="D67" t="s">
        <v>34</v>
      </c>
      <c r="E67" t="s">
        <v>64</v>
      </c>
      <c r="F67" t="s">
        <v>84</v>
      </c>
      <c r="G67" t="s">
        <v>43</v>
      </c>
      <c r="H67">
        <v>96786.06</v>
      </c>
      <c r="I67">
        <v>6</v>
      </c>
      <c r="J67" t="s">
        <v>19</v>
      </c>
      <c r="K67" t="s">
        <v>74</v>
      </c>
      <c r="L67" t="s">
        <v>40</v>
      </c>
      <c r="M67" t="s">
        <v>58</v>
      </c>
    </row>
    <row r="68" spans="1:13" x14ac:dyDescent="0.3">
      <c r="A68" t="s">
        <v>183</v>
      </c>
      <c r="B68" t="s">
        <v>184</v>
      </c>
      <c r="C68">
        <v>10</v>
      </c>
      <c r="D68" t="s">
        <v>15</v>
      </c>
      <c r="E68" t="s">
        <v>35</v>
      </c>
      <c r="F68" t="s">
        <v>89</v>
      </c>
      <c r="G68" t="s">
        <v>27</v>
      </c>
      <c r="H68">
        <v>128281.33</v>
      </c>
      <c r="I68">
        <v>19</v>
      </c>
      <c r="J68" t="s">
        <v>19</v>
      </c>
      <c r="K68" t="s">
        <v>44</v>
      </c>
      <c r="L68" t="s">
        <v>45</v>
      </c>
      <c r="M68" t="s">
        <v>58</v>
      </c>
    </row>
    <row r="69" spans="1:13" x14ac:dyDescent="0.3">
      <c r="A69" t="s">
        <v>185</v>
      </c>
      <c r="B69" t="s">
        <v>186</v>
      </c>
      <c r="C69">
        <v>68</v>
      </c>
      <c r="D69" t="s">
        <v>34</v>
      </c>
      <c r="E69" t="s">
        <v>25</v>
      </c>
      <c r="F69" t="s">
        <v>17</v>
      </c>
      <c r="G69" t="s">
        <v>43</v>
      </c>
      <c r="H69">
        <v>76245.36</v>
      </c>
      <c r="I69">
        <v>3</v>
      </c>
      <c r="J69" t="s">
        <v>28</v>
      </c>
      <c r="K69" t="s">
        <v>69</v>
      </c>
      <c r="L69" t="s">
        <v>45</v>
      </c>
      <c r="M69" t="s">
        <v>22</v>
      </c>
    </row>
    <row r="70" spans="1:13" x14ac:dyDescent="0.3">
      <c r="A70" t="s">
        <v>187</v>
      </c>
      <c r="B70" t="s">
        <v>188</v>
      </c>
      <c r="C70">
        <v>79</v>
      </c>
      <c r="D70" t="s">
        <v>15</v>
      </c>
      <c r="E70" t="s">
        <v>16</v>
      </c>
      <c r="F70" t="s">
        <v>79</v>
      </c>
      <c r="G70" t="s">
        <v>43</v>
      </c>
      <c r="H70">
        <v>120589.19</v>
      </c>
      <c r="I70">
        <v>4</v>
      </c>
      <c r="J70" t="s">
        <v>19</v>
      </c>
      <c r="K70" t="s">
        <v>55</v>
      </c>
      <c r="L70" t="s">
        <v>51</v>
      </c>
      <c r="M70" t="s">
        <v>22</v>
      </c>
    </row>
    <row r="71" spans="1:13" x14ac:dyDescent="0.3">
      <c r="A71" t="s">
        <v>189</v>
      </c>
      <c r="B71" t="s">
        <v>190</v>
      </c>
      <c r="C71">
        <v>46</v>
      </c>
      <c r="D71" t="s">
        <v>15</v>
      </c>
      <c r="E71" t="s">
        <v>25</v>
      </c>
      <c r="F71" t="s">
        <v>26</v>
      </c>
      <c r="G71" t="s">
        <v>43</v>
      </c>
      <c r="H71">
        <v>61905.08</v>
      </c>
      <c r="I71">
        <v>14</v>
      </c>
      <c r="J71" t="s">
        <v>28</v>
      </c>
      <c r="K71" t="s">
        <v>50</v>
      </c>
      <c r="L71" t="s">
        <v>45</v>
      </c>
      <c r="M71" t="s">
        <v>22</v>
      </c>
    </row>
    <row r="72" spans="1:13" x14ac:dyDescent="0.3">
      <c r="A72" t="s">
        <v>191</v>
      </c>
      <c r="B72" t="s">
        <v>192</v>
      </c>
      <c r="C72">
        <v>55</v>
      </c>
      <c r="D72" t="s">
        <v>34</v>
      </c>
      <c r="E72" t="s">
        <v>25</v>
      </c>
      <c r="F72" t="s">
        <v>84</v>
      </c>
      <c r="G72" t="s">
        <v>36</v>
      </c>
      <c r="H72">
        <v>23047.84</v>
      </c>
      <c r="I72">
        <v>13</v>
      </c>
      <c r="J72" t="s">
        <v>28</v>
      </c>
      <c r="K72" t="s">
        <v>69</v>
      </c>
      <c r="L72" t="s">
        <v>51</v>
      </c>
      <c r="M72" t="s">
        <v>31</v>
      </c>
    </row>
    <row r="73" spans="1:13" x14ac:dyDescent="0.3">
      <c r="A73" t="s">
        <v>193</v>
      </c>
      <c r="B73" t="s">
        <v>194</v>
      </c>
      <c r="C73">
        <v>14</v>
      </c>
      <c r="D73" t="s">
        <v>34</v>
      </c>
      <c r="E73" t="s">
        <v>83</v>
      </c>
      <c r="F73" t="s">
        <v>89</v>
      </c>
      <c r="G73" t="s">
        <v>36</v>
      </c>
      <c r="H73">
        <v>103038.63</v>
      </c>
      <c r="I73">
        <v>11</v>
      </c>
      <c r="J73" t="s">
        <v>19</v>
      </c>
      <c r="K73" t="s">
        <v>55</v>
      </c>
      <c r="L73" t="s">
        <v>40</v>
      </c>
      <c r="M73" t="s">
        <v>22</v>
      </c>
    </row>
    <row r="74" spans="1:13" x14ac:dyDescent="0.3">
      <c r="A74" t="s">
        <v>195</v>
      </c>
      <c r="B74" t="s">
        <v>196</v>
      </c>
      <c r="C74">
        <v>30</v>
      </c>
      <c r="D74" t="s">
        <v>34</v>
      </c>
      <c r="E74" t="s">
        <v>83</v>
      </c>
      <c r="F74" t="s">
        <v>61</v>
      </c>
      <c r="G74" t="s">
        <v>80</v>
      </c>
      <c r="H74">
        <v>137416.76999999999</v>
      </c>
      <c r="I74">
        <v>11</v>
      </c>
      <c r="J74" t="s">
        <v>28</v>
      </c>
      <c r="K74" t="s">
        <v>55</v>
      </c>
      <c r="L74" t="s">
        <v>30</v>
      </c>
      <c r="M74" t="s">
        <v>58</v>
      </c>
    </row>
    <row r="75" spans="1:13" x14ac:dyDescent="0.3">
      <c r="A75" t="s">
        <v>197</v>
      </c>
      <c r="B75" t="s">
        <v>198</v>
      </c>
      <c r="C75">
        <v>73</v>
      </c>
      <c r="D75" t="s">
        <v>15</v>
      </c>
      <c r="E75" t="s">
        <v>35</v>
      </c>
      <c r="F75" t="s">
        <v>61</v>
      </c>
      <c r="G75" t="s">
        <v>36</v>
      </c>
      <c r="H75">
        <v>62927.69</v>
      </c>
      <c r="I75">
        <v>8</v>
      </c>
      <c r="J75" t="s">
        <v>28</v>
      </c>
      <c r="K75" t="s">
        <v>20</v>
      </c>
      <c r="L75" t="s">
        <v>112</v>
      </c>
      <c r="M75" t="s">
        <v>58</v>
      </c>
    </row>
    <row r="76" spans="1:13" x14ac:dyDescent="0.3">
      <c r="A76" t="s">
        <v>199</v>
      </c>
      <c r="B76" t="s">
        <v>200</v>
      </c>
      <c r="C76">
        <v>77</v>
      </c>
      <c r="D76" t="s">
        <v>34</v>
      </c>
      <c r="E76" t="s">
        <v>64</v>
      </c>
      <c r="F76" t="s">
        <v>79</v>
      </c>
      <c r="G76" t="s">
        <v>18</v>
      </c>
      <c r="H76">
        <v>74222.789999999994</v>
      </c>
      <c r="I76">
        <v>15</v>
      </c>
      <c r="J76" t="s">
        <v>28</v>
      </c>
      <c r="K76" t="s">
        <v>39</v>
      </c>
      <c r="L76" t="s">
        <v>40</v>
      </c>
      <c r="M76" t="s">
        <v>22</v>
      </c>
    </row>
    <row r="77" spans="1:13" x14ac:dyDescent="0.3">
      <c r="A77" t="s">
        <v>201</v>
      </c>
      <c r="B77" t="s">
        <v>91</v>
      </c>
      <c r="C77">
        <v>41</v>
      </c>
      <c r="D77" t="s">
        <v>15</v>
      </c>
      <c r="E77" t="s">
        <v>16</v>
      </c>
      <c r="F77" t="s">
        <v>89</v>
      </c>
      <c r="G77" t="s">
        <v>80</v>
      </c>
      <c r="H77">
        <v>74250.52</v>
      </c>
      <c r="I77">
        <v>17</v>
      </c>
      <c r="J77" t="s">
        <v>28</v>
      </c>
      <c r="K77" t="s">
        <v>50</v>
      </c>
      <c r="L77" t="s">
        <v>40</v>
      </c>
      <c r="M77" t="s">
        <v>58</v>
      </c>
    </row>
    <row r="78" spans="1:13" x14ac:dyDescent="0.3">
      <c r="A78" t="s">
        <v>202</v>
      </c>
      <c r="B78" t="s">
        <v>203</v>
      </c>
      <c r="C78">
        <v>39</v>
      </c>
      <c r="D78" t="s">
        <v>34</v>
      </c>
      <c r="E78" t="s">
        <v>35</v>
      </c>
      <c r="F78" t="s">
        <v>89</v>
      </c>
      <c r="G78" t="s">
        <v>54</v>
      </c>
      <c r="H78">
        <v>70129.25</v>
      </c>
      <c r="I78">
        <v>3</v>
      </c>
      <c r="J78" t="s">
        <v>28</v>
      </c>
      <c r="K78" t="s">
        <v>69</v>
      </c>
      <c r="L78" t="s">
        <v>30</v>
      </c>
      <c r="M78" t="s">
        <v>22</v>
      </c>
    </row>
    <row r="79" spans="1:13" x14ac:dyDescent="0.3">
      <c r="A79" t="s">
        <v>204</v>
      </c>
      <c r="B79" t="s">
        <v>205</v>
      </c>
      <c r="C79">
        <v>76</v>
      </c>
      <c r="D79" t="s">
        <v>15</v>
      </c>
      <c r="E79" t="s">
        <v>35</v>
      </c>
      <c r="F79" t="s">
        <v>26</v>
      </c>
      <c r="G79" t="s">
        <v>27</v>
      </c>
      <c r="H79">
        <v>49530.97</v>
      </c>
      <c r="I79">
        <v>6</v>
      </c>
      <c r="J79" t="s">
        <v>19</v>
      </c>
      <c r="K79" t="s">
        <v>55</v>
      </c>
      <c r="L79" t="s">
        <v>40</v>
      </c>
      <c r="M79" t="s">
        <v>58</v>
      </c>
    </row>
    <row r="80" spans="1:13" x14ac:dyDescent="0.3">
      <c r="A80" t="s">
        <v>206</v>
      </c>
      <c r="B80" t="s">
        <v>207</v>
      </c>
      <c r="C80">
        <v>67</v>
      </c>
      <c r="D80" t="s">
        <v>15</v>
      </c>
      <c r="E80" t="s">
        <v>16</v>
      </c>
      <c r="F80" t="s">
        <v>61</v>
      </c>
      <c r="G80" t="s">
        <v>54</v>
      </c>
      <c r="H80">
        <v>23332.12</v>
      </c>
      <c r="I80">
        <v>15</v>
      </c>
      <c r="J80" t="s">
        <v>19</v>
      </c>
      <c r="K80" t="s">
        <v>29</v>
      </c>
      <c r="L80" t="s">
        <v>30</v>
      </c>
      <c r="M80" t="s">
        <v>31</v>
      </c>
    </row>
    <row r="81" spans="1:13" x14ac:dyDescent="0.3">
      <c r="A81" t="s">
        <v>208</v>
      </c>
      <c r="B81" t="s">
        <v>49</v>
      </c>
      <c r="C81">
        <v>24</v>
      </c>
      <c r="D81" t="s">
        <v>15</v>
      </c>
      <c r="E81" t="s">
        <v>117</v>
      </c>
      <c r="F81" t="s">
        <v>17</v>
      </c>
      <c r="G81" t="s">
        <v>27</v>
      </c>
      <c r="H81">
        <v>142284.93</v>
      </c>
      <c r="I81">
        <v>19</v>
      </c>
      <c r="J81" t="s">
        <v>28</v>
      </c>
      <c r="K81" t="s">
        <v>44</v>
      </c>
      <c r="L81" t="s">
        <v>112</v>
      </c>
      <c r="M81" t="s">
        <v>22</v>
      </c>
    </row>
    <row r="82" spans="1:13" x14ac:dyDescent="0.3">
      <c r="A82" t="s">
        <v>209</v>
      </c>
      <c r="B82" t="s">
        <v>210</v>
      </c>
      <c r="C82">
        <v>80</v>
      </c>
      <c r="D82" t="s">
        <v>34</v>
      </c>
      <c r="E82" t="s">
        <v>117</v>
      </c>
      <c r="F82" t="s">
        <v>89</v>
      </c>
      <c r="G82" t="s">
        <v>36</v>
      </c>
      <c r="H82">
        <v>149702.04999999999</v>
      </c>
      <c r="I82">
        <v>5</v>
      </c>
      <c r="J82" t="s">
        <v>28</v>
      </c>
      <c r="K82" t="s">
        <v>50</v>
      </c>
      <c r="L82" t="s">
        <v>40</v>
      </c>
      <c r="M82" t="s">
        <v>31</v>
      </c>
    </row>
    <row r="83" spans="1:13" x14ac:dyDescent="0.3">
      <c r="A83" t="s">
        <v>211</v>
      </c>
      <c r="B83" t="s">
        <v>212</v>
      </c>
      <c r="C83">
        <v>1</v>
      </c>
      <c r="D83" t="s">
        <v>34</v>
      </c>
      <c r="E83" t="s">
        <v>83</v>
      </c>
      <c r="F83" t="s">
        <v>84</v>
      </c>
      <c r="G83" t="s">
        <v>18</v>
      </c>
      <c r="H83">
        <v>110463.54</v>
      </c>
      <c r="I83">
        <v>2</v>
      </c>
      <c r="J83" t="s">
        <v>19</v>
      </c>
      <c r="K83" t="s">
        <v>50</v>
      </c>
      <c r="L83" t="s">
        <v>30</v>
      </c>
      <c r="M83" t="s">
        <v>31</v>
      </c>
    </row>
    <row r="84" spans="1:13" x14ac:dyDescent="0.3">
      <c r="A84" t="s">
        <v>213</v>
      </c>
      <c r="B84" t="s">
        <v>214</v>
      </c>
      <c r="C84">
        <v>40</v>
      </c>
      <c r="D84" t="s">
        <v>15</v>
      </c>
      <c r="E84" t="s">
        <v>25</v>
      </c>
      <c r="F84" t="s">
        <v>84</v>
      </c>
      <c r="G84" t="s">
        <v>18</v>
      </c>
      <c r="H84">
        <v>144019.51</v>
      </c>
      <c r="I84">
        <v>1</v>
      </c>
      <c r="J84" t="s">
        <v>19</v>
      </c>
      <c r="K84" t="s">
        <v>55</v>
      </c>
      <c r="L84" t="s">
        <v>51</v>
      </c>
      <c r="M84" t="s">
        <v>22</v>
      </c>
    </row>
    <row r="85" spans="1:13" x14ac:dyDescent="0.3">
      <c r="A85" t="s">
        <v>215</v>
      </c>
      <c r="B85" t="s">
        <v>216</v>
      </c>
      <c r="C85">
        <v>74</v>
      </c>
      <c r="D85" t="s">
        <v>15</v>
      </c>
      <c r="E85" t="s">
        <v>64</v>
      </c>
      <c r="F85" t="s">
        <v>84</v>
      </c>
      <c r="G85" t="s">
        <v>54</v>
      </c>
      <c r="H85">
        <v>20551.16</v>
      </c>
      <c r="I85">
        <v>1</v>
      </c>
      <c r="J85" t="s">
        <v>19</v>
      </c>
      <c r="K85" t="s">
        <v>50</v>
      </c>
      <c r="L85" t="s">
        <v>45</v>
      </c>
      <c r="M85" t="s">
        <v>22</v>
      </c>
    </row>
    <row r="86" spans="1:13" x14ac:dyDescent="0.3">
      <c r="A86" t="s">
        <v>217</v>
      </c>
      <c r="B86" t="s">
        <v>218</v>
      </c>
      <c r="C86">
        <v>15</v>
      </c>
      <c r="D86" t="s">
        <v>34</v>
      </c>
      <c r="E86" t="s">
        <v>35</v>
      </c>
      <c r="F86" t="s">
        <v>79</v>
      </c>
      <c r="G86" t="s">
        <v>27</v>
      </c>
      <c r="H86">
        <v>97301.27</v>
      </c>
      <c r="I86">
        <v>16</v>
      </c>
      <c r="J86" t="s">
        <v>19</v>
      </c>
      <c r="K86" t="s">
        <v>69</v>
      </c>
      <c r="L86" t="s">
        <v>40</v>
      </c>
      <c r="M86" t="s">
        <v>22</v>
      </c>
    </row>
    <row r="87" spans="1:13" x14ac:dyDescent="0.3">
      <c r="A87" t="s">
        <v>219</v>
      </c>
      <c r="B87" t="s">
        <v>220</v>
      </c>
      <c r="C87">
        <v>83</v>
      </c>
      <c r="D87" t="s">
        <v>34</v>
      </c>
      <c r="E87" t="s">
        <v>83</v>
      </c>
      <c r="F87" t="s">
        <v>84</v>
      </c>
      <c r="G87" t="s">
        <v>18</v>
      </c>
      <c r="H87">
        <v>77870.19</v>
      </c>
      <c r="I87">
        <v>13</v>
      </c>
      <c r="J87" t="s">
        <v>28</v>
      </c>
      <c r="K87" t="s">
        <v>74</v>
      </c>
      <c r="L87" t="s">
        <v>30</v>
      </c>
      <c r="M87" t="s">
        <v>58</v>
      </c>
    </row>
    <row r="88" spans="1:13" x14ac:dyDescent="0.3">
      <c r="A88" t="s">
        <v>221</v>
      </c>
      <c r="B88" t="s">
        <v>222</v>
      </c>
      <c r="C88">
        <v>14</v>
      </c>
      <c r="D88" t="s">
        <v>15</v>
      </c>
      <c r="E88" t="s">
        <v>35</v>
      </c>
      <c r="F88" t="s">
        <v>79</v>
      </c>
      <c r="G88" t="s">
        <v>18</v>
      </c>
      <c r="H88">
        <v>52539.66</v>
      </c>
      <c r="I88">
        <v>7</v>
      </c>
      <c r="J88" t="s">
        <v>28</v>
      </c>
      <c r="K88" t="s">
        <v>74</v>
      </c>
      <c r="L88" t="s">
        <v>40</v>
      </c>
      <c r="M88" t="s">
        <v>22</v>
      </c>
    </row>
    <row r="89" spans="1:13" x14ac:dyDescent="0.3">
      <c r="A89" t="s">
        <v>223</v>
      </c>
      <c r="B89" t="s">
        <v>224</v>
      </c>
      <c r="C89">
        <v>43</v>
      </c>
      <c r="D89" t="s">
        <v>15</v>
      </c>
      <c r="E89" t="s">
        <v>16</v>
      </c>
      <c r="F89" t="s">
        <v>79</v>
      </c>
      <c r="G89" t="s">
        <v>54</v>
      </c>
      <c r="H89">
        <v>3045</v>
      </c>
      <c r="I89">
        <v>13</v>
      </c>
      <c r="J89" t="s">
        <v>19</v>
      </c>
      <c r="K89" t="s">
        <v>50</v>
      </c>
      <c r="L89" t="s">
        <v>40</v>
      </c>
      <c r="M89" t="s">
        <v>58</v>
      </c>
    </row>
    <row r="90" spans="1:13" x14ac:dyDescent="0.3">
      <c r="A90" t="s">
        <v>225</v>
      </c>
      <c r="B90" t="s">
        <v>203</v>
      </c>
      <c r="C90">
        <v>11</v>
      </c>
      <c r="D90" t="s">
        <v>34</v>
      </c>
      <c r="E90" t="s">
        <v>83</v>
      </c>
      <c r="F90" t="s">
        <v>61</v>
      </c>
      <c r="G90" t="s">
        <v>36</v>
      </c>
      <c r="H90">
        <v>19179.86</v>
      </c>
      <c r="I90">
        <v>1</v>
      </c>
      <c r="J90" t="s">
        <v>19</v>
      </c>
      <c r="K90" t="s">
        <v>39</v>
      </c>
      <c r="L90" t="s">
        <v>45</v>
      </c>
      <c r="M90" t="s">
        <v>22</v>
      </c>
    </row>
    <row r="91" spans="1:13" x14ac:dyDescent="0.3">
      <c r="A91" t="s">
        <v>226</v>
      </c>
      <c r="B91" t="s">
        <v>227</v>
      </c>
      <c r="C91">
        <v>22</v>
      </c>
      <c r="D91" t="s">
        <v>34</v>
      </c>
      <c r="E91" t="s">
        <v>16</v>
      </c>
      <c r="F91" t="s">
        <v>89</v>
      </c>
      <c r="G91" t="s">
        <v>27</v>
      </c>
      <c r="H91">
        <v>109692.21</v>
      </c>
      <c r="I91">
        <v>16</v>
      </c>
      <c r="J91" t="s">
        <v>28</v>
      </c>
      <c r="K91" t="s">
        <v>55</v>
      </c>
      <c r="L91" t="s">
        <v>112</v>
      </c>
      <c r="M91" t="s">
        <v>22</v>
      </c>
    </row>
    <row r="92" spans="1:13" x14ac:dyDescent="0.3">
      <c r="A92" t="s">
        <v>228</v>
      </c>
      <c r="B92" t="s">
        <v>229</v>
      </c>
      <c r="C92">
        <v>87</v>
      </c>
      <c r="D92" t="s">
        <v>34</v>
      </c>
      <c r="E92" t="s">
        <v>16</v>
      </c>
      <c r="F92" t="s">
        <v>17</v>
      </c>
      <c r="G92" t="s">
        <v>27</v>
      </c>
      <c r="H92">
        <v>12756.04</v>
      </c>
      <c r="I92">
        <v>12</v>
      </c>
      <c r="J92" t="s">
        <v>28</v>
      </c>
      <c r="K92" t="s">
        <v>29</v>
      </c>
      <c r="L92" t="s">
        <v>112</v>
      </c>
      <c r="M92" t="s">
        <v>31</v>
      </c>
    </row>
    <row r="93" spans="1:13" x14ac:dyDescent="0.3">
      <c r="A93" t="s">
        <v>230</v>
      </c>
      <c r="B93" t="s">
        <v>231</v>
      </c>
      <c r="C93">
        <v>78</v>
      </c>
      <c r="D93" t="s">
        <v>15</v>
      </c>
      <c r="E93" t="s">
        <v>16</v>
      </c>
      <c r="F93" t="s">
        <v>89</v>
      </c>
      <c r="G93" t="s">
        <v>43</v>
      </c>
      <c r="H93">
        <v>149670.59</v>
      </c>
      <c r="I93">
        <v>20</v>
      </c>
      <c r="J93" t="s">
        <v>19</v>
      </c>
      <c r="K93" t="s">
        <v>39</v>
      </c>
      <c r="L93" t="s">
        <v>45</v>
      </c>
      <c r="M93" t="s">
        <v>58</v>
      </c>
    </row>
    <row r="94" spans="1:13" x14ac:dyDescent="0.3">
      <c r="A94" t="s">
        <v>232</v>
      </c>
      <c r="B94" t="s">
        <v>135</v>
      </c>
      <c r="C94">
        <v>49</v>
      </c>
      <c r="D94" t="s">
        <v>15</v>
      </c>
      <c r="E94" t="s">
        <v>83</v>
      </c>
      <c r="F94" t="s">
        <v>79</v>
      </c>
      <c r="G94" t="s">
        <v>43</v>
      </c>
      <c r="H94">
        <v>23739.66</v>
      </c>
      <c r="I94">
        <v>9</v>
      </c>
      <c r="J94" t="s">
        <v>28</v>
      </c>
      <c r="K94" t="s">
        <v>39</v>
      </c>
      <c r="L94" t="s">
        <v>30</v>
      </c>
      <c r="M94" t="s">
        <v>22</v>
      </c>
    </row>
    <row r="95" spans="1:13" x14ac:dyDescent="0.3">
      <c r="A95" t="s">
        <v>233</v>
      </c>
      <c r="B95" t="s">
        <v>53</v>
      </c>
      <c r="C95">
        <v>20</v>
      </c>
      <c r="D95" t="s">
        <v>15</v>
      </c>
      <c r="E95" t="s">
        <v>16</v>
      </c>
      <c r="F95" t="s">
        <v>84</v>
      </c>
      <c r="G95" t="s">
        <v>54</v>
      </c>
      <c r="H95">
        <v>61477.09</v>
      </c>
      <c r="I95">
        <v>6</v>
      </c>
      <c r="J95" t="s">
        <v>19</v>
      </c>
      <c r="K95" t="s">
        <v>29</v>
      </c>
      <c r="L95" t="s">
        <v>51</v>
      </c>
      <c r="M95" t="s">
        <v>58</v>
      </c>
    </row>
    <row r="96" spans="1:13" x14ac:dyDescent="0.3">
      <c r="A96" t="s">
        <v>234</v>
      </c>
      <c r="B96" t="s">
        <v>235</v>
      </c>
      <c r="C96">
        <v>74</v>
      </c>
      <c r="D96" t="s">
        <v>34</v>
      </c>
      <c r="E96" t="s">
        <v>64</v>
      </c>
      <c r="F96" t="s">
        <v>79</v>
      </c>
      <c r="G96" t="s">
        <v>36</v>
      </c>
      <c r="H96">
        <v>130747.17</v>
      </c>
      <c r="I96">
        <v>6</v>
      </c>
      <c r="J96" t="s">
        <v>28</v>
      </c>
      <c r="K96" t="s">
        <v>39</v>
      </c>
      <c r="L96" t="s">
        <v>45</v>
      </c>
      <c r="M96" t="s">
        <v>58</v>
      </c>
    </row>
    <row r="97" spans="1:13" x14ac:dyDescent="0.3">
      <c r="A97" t="s">
        <v>236</v>
      </c>
      <c r="B97" t="s">
        <v>237</v>
      </c>
      <c r="C97">
        <v>3</v>
      </c>
      <c r="D97" t="s">
        <v>34</v>
      </c>
      <c r="E97" t="s">
        <v>16</v>
      </c>
      <c r="F97" t="s">
        <v>84</v>
      </c>
      <c r="G97" t="s">
        <v>27</v>
      </c>
      <c r="H97">
        <v>105304.66</v>
      </c>
      <c r="I97">
        <v>15</v>
      </c>
      <c r="J97" t="s">
        <v>28</v>
      </c>
      <c r="K97" t="s">
        <v>44</v>
      </c>
      <c r="L97" t="s">
        <v>30</v>
      </c>
      <c r="M97" t="s">
        <v>22</v>
      </c>
    </row>
    <row r="98" spans="1:13" x14ac:dyDescent="0.3">
      <c r="A98" t="s">
        <v>238</v>
      </c>
      <c r="B98" t="s">
        <v>188</v>
      </c>
      <c r="C98">
        <v>73</v>
      </c>
      <c r="D98" t="s">
        <v>34</v>
      </c>
      <c r="E98" t="s">
        <v>83</v>
      </c>
      <c r="F98" t="s">
        <v>17</v>
      </c>
      <c r="G98" t="s">
        <v>80</v>
      </c>
      <c r="H98">
        <v>1595.37</v>
      </c>
      <c r="I98">
        <v>11</v>
      </c>
      <c r="J98" t="s">
        <v>19</v>
      </c>
      <c r="K98" t="s">
        <v>50</v>
      </c>
      <c r="L98" t="s">
        <v>21</v>
      </c>
      <c r="M98" t="s">
        <v>22</v>
      </c>
    </row>
    <row r="99" spans="1:13" x14ac:dyDescent="0.3">
      <c r="A99" t="s">
        <v>239</v>
      </c>
      <c r="B99" t="s">
        <v>240</v>
      </c>
      <c r="C99">
        <v>31</v>
      </c>
      <c r="D99" t="s">
        <v>34</v>
      </c>
      <c r="E99" t="s">
        <v>117</v>
      </c>
      <c r="F99" t="s">
        <v>84</v>
      </c>
      <c r="G99" t="s">
        <v>18</v>
      </c>
      <c r="H99">
        <v>147303.53</v>
      </c>
      <c r="I99">
        <v>8</v>
      </c>
      <c r="J99" t="s">
        <v>28</v>
      </c>
      <c r="K99" t="s">
        <v>69</v>
      </c>
      <c r="L99" t="s">
        <v>40</v>
      </c>
      <c r="M99" t="s">
        <v>58</v>
      </c>
    </row>
    <row r="100" spans="1:13" x14ac:dyDescent="0.3">
      <c r="A100" t="s">
        <v>241</v>
      </c>
      <c r="B100" t="s">
        <v>242</v>
      </c>
      <c r="C100">
        <v>27</v>
      </c>
      <c r="D100" t="s">
        <v>34</v>
      </c>
      <c r="E100" t="s">
        <v>64</v>
      </c>
      <c r="F100" t="s">
        <v>79</v>
      </c>
      <c r="G100" t="s">
        <v>54</v>
      </c>
      <c r="H100">
        <v>95251.79</v>
      </c>
      <c r="I100">
        <v>10</v>
      </c>
      <c r="J100" t="s">
        <v>28</v>
      </c>
      <c r="K100" t="s">
        <v>69</v>
      </c>
      <c r="L100" t="s">
        <v>30</v>
      </c>
      <c r="M100" t="s">
        <v>31</v>
      </c>
    </row>
    <row r="101" spans="1:13" x14ac:dyDescent="0.3">
      <c r="A101" t="s">
        <v>243</v>
      </c>
      <c r="B101" t="s">
        <v>244</v>
      </c>
      <c r="C101">
        <v>50</v>
      </c>
      <c r="D101" t="s">
        <v>15</v>
      </c>
      <c r="E101" t="s">
        <v>64</v>
      </c>
      <c r="F101" t="s">
        <v>17</v>
      </c>
      <c r="G101" t="s">
        <v>27</v>
      </c>
      <c r="H101">
        <v>48809.24</v>
      </c>
      <c r="I101">
        <v>2</v>
      </c>
      <c r="J101" t="s">
        <v>28</v>
      </c>
      <c r="K101" t="s">
        <v>69</v>
      </c>
      <c r="L101" t="s">
        <v>45</v>
      </c>
      <c r="M101" t="s">
        <v>31</v>
      </c>
    </row>
    <row r="102" spans="1:13" x14ac:dyDescent="0.3">
      <c r="A102" t="s">
        <v>245</v>
      </c>
      <c r="B102" t="s">
        <v>246</v>
      </c>
      <c r="C102">
        <v>21</v>
      </c>
      <c r="D102" t="s">
        <v>34</v>
      </c>
      <c r="E102" t="s">
        <v>16</v>
      </c>
      <c r="F102" t="s">
        <v>26</v>
      </c>
      <c r="G102" t="s">
        <v>18</v>
      </c>
      <c r="H102">
        <v>77372.289999999994</v>
      </c>
      <c r="I102">
        <v>16</v>
      </c>
      <c r="J102" t="s">
        <v>19</v>
      </c>
      <c r="K102" t="s">
        <v>39</v>
      </c>
      <c r="L102" t="s">
        <v>112</v>
      </c>
      <c r="M102" t="s">
        <v>22</v>
      </c>
    </row>
    <row r="103" spans="1:13" x14ac:dyDescent="0.3">
      <c r="A103" t="s">
        <v>247</v>
      </c>
      <c r="B103" t="s">
        <v>248</v>
      </c>
      <c r="C103">
        <v>34</v>
      </c>
      <c r="D103" t="s">
        <v>15</v>
      </c>
      <c r="E103" t="s">
        <v>16</v>
      </c>
      <c r="F103" t="s">
        <v>79</v>
      </c>
      <c r="G103" t="s">
        <v>18</v>
      </c>
      <c r="H103">
        <v>104545.42</v>
      </c>
      <c r="I103">
        <v>1</v>
      </c>
      <c r="J103" t="s">
        <v>28</v>
      </c>
      <c r="K103" t="s">
        <v>69</v>
      </c>
      <c r="L103" t="s">
        <v>45</v>
      </c>
      <c r="M103" t="s">
        <v>31</v>
      </c>
    </row>
    <row r="104" spans="1:13" x14ac:dyDescent="0.3">
      <c r="A104" t="s">
        <v>249</v>
      </c>
      <c r="B104" t="s">
        <v>101</v>
      </c>
      <c r="C104">
        <v>62</v>
      </c>
      <c r="D104" t="s">
        <v>15</v>
      </c>
      <c r="E104" t="s">
        <v>35</v>
      </c>
      <c r="F104" t="s">
        <v>84</v>
      </c>
      <c r="G104" t="s">
        <v>27</v>
      </c>
      <c r="H104">
        <v>94904.49</v>
      </c>
      <c r="I104">
        <v>7</v>
      </c>
      <c r="J104" t="s">
        <v>19</v>
      </c>
      <c r="K104" t="s">
        <v>69</v>
      </c>
      <c r="L104" t="s">
        <v>21</v>
      </c>
      <c r="M104" t="s">
        <v>31</v>
      </c>
    </row>
    <row r="105" spans="1:13" x14ac:dyDescent="0.3">
      <c r="A105" t="s">
        <v>250</v>
      </c>
      <c r="B105" t="s">
        <v>251</v>
      </c>
      <c r="C105">
        <v>4</v>
      </c>
      <c r="D105" t="s">
        <v>34</v>
      </c>
      <c r="E105" t="s">
        <v>25</v>
      </c>
      <c r="F105" t="s">
        <v>89</v>
      </c>
      <c r="G105" t="s">
        <v>18</v>
      </c>
      <c r="H105">
        <v>78663.77</v>
      </c>
      <c r="I105">
        <v>17</v>
      </c>
      <c r="J105" t="s">
        <v>19</v>
      </c>
      <c r="K105" t="s">
        <v>29</v>
      </c>
      <c r="L105" t="s">
        <v>51</v>
      </c>
      <c r="M105" t="s">
        <v>58</v>
      </c>
    </row>
    <row r="106" spans="1:13" x14ac:dyDescent="0.3">
      <c r="A106" t="s">
        <v>252</v>
      </c>
      <c r="B106" t="s">
        <v>141</v>
      </c>
      <c r="C106">
        <v>51</v>
      </c>
      <c r="D106" t="s">
        <v>34</v>
      </c>
      <c r="E106" t="s">
        <v>117</v>
      </c>
      <c r="F106" t="s">
        <v>79</v>
      </c>
      <c r="G106" t="s">
        <v>18</v>
      </c>
      <c r="H106">
        <v>36709.65</v>
      </c>
      <c r="I106">
        <v>5</v>
      </c>
      <c r="J106" t="s">
        <v>28</v>
      </c>
      <c r="K106" t="s">
        <v>50</v>
      </c>
      <c r="L106" t="s">
        <v>45</v>
      </c>
      <c r="M106" t="s">
        <v>58</v>
      </c>
    </row>
    <row r="107" spans="1:13" x14ac:dyDescent="0.3">
      <c r="A107" t="s">
        <v>253</v>
      </c>
      <c r="B107" t="s">
        <v>254</v>
      </c>
      <c r="C107">
        <v>41</v>
      </c>
      <c r="D107" t="s">
        <v>15</v>
      </c>
      <c r="E107" t="s">
        <v>83</v>
      </c>
      <c r="F107" t="s">
        <v>89</v>
      </c>
      <c r="G107" t="s">
        <v>36</v>
      </c>
      <c r="H107">
        <v>59250.36</v>
      </c>
      <c r="I107">
        <v>3</v>
      </c>
      <c r="J107" t="s">
        <v>28</v>
      </c>
      <c r="K107" t="s">
        <v>44</v>
      </c>
      <c r="L107" t="s">
        <v>21</v>
      </c>
      <c r="M107" t="s">
        <v>31</v>
      </c>
    </row>
    <row r="108" spans="1:13" x14ac:dyDescent="0.3">
      <c r="A108" t="s">
        <v>255</v>
      </c>
      <c r="B108" t="s">
        <v>256</v>
      </c>
      <c r="C108">
        <v>50</v>
      </c>
      <c r="D108" t="s">
        <v>34</v>
      </c>
      <c r="E108" t="s">
        <v>117</v>
      </c>
      <c r="F108" t="s">
        <v>26</v>
      </c>
      <c r="G108" t="s">
        <v>43</v>
      </c>
      <c r="H108">
        <v>70983.86</v>
      </c>
      <c r="I108">
        <v>10</v>
      </c>
      <c r="J108" t="s">
        <v>28</v>
      </c>
      <c r="K108" t="s">
        <v>50</v>
      </c>
      <c r="L108" t="s">
        <v>51</v>
      </c>
      <c r="M108" t="s">
        <v>22</v>
      </c>
    </row>
    <row r="109" spans="1:13" x14ac:dyDescent="0.3">
      <c r="A109" t="s">
        <v>257</v>
      </c>
      <c r="B109" t="s">
        <v>60</v>
      </c>
      <c r="C109">
        <v>72</v>
      </c>
      <c r="D109" t="s">
        <v>15</v>
      </c>
      <c r="E109" t="s">
        <v>117</v>
      </c>
      <c r="F109" t="s">
        <v>89</v>
      </c>
      <c r="G109" t="s">
        <v>27</v>
      </c>
      <c r="H109">
        <v>103251.41</v>
      </c>
      <c r="I109">
        <v>15</v>
      </c>
      <c r="J109" t="s">
        <v>28</v>
      </c>
      <c r="K109" t="s">
        <v>55</v>
      </c>
      <c r="L109" t="s">
        <v>112</v>
      </c>
      <c r="M109" t="s">
        <v>58</v>
      </c>
    </row>
    <row r="110" spans="1:13" x14ac:dyDescent="0.3">
      <c r="A110" t="s">
        <v>258</v>
      </c>
      <c r="B110" t="s">
        <v>259</v>
      </c>
      <c r="C110">
        <v>38</v>
      </c>
      <c r="D110" t="s">
        <v>34</v>
      </c>
      <c r="E110" t="s">
        <v>64</v>
      </c>
      <c r="F110" t="s">
        <v>61</v>
      </c>
      <c r="G110" t="s">
        <v>27</v>
      </c>
      <c r="H110">
        <v>94879.59</v>
      </c>
      <c r="I110">
        <v>12</v>
      </c>
      <c r="J110" t="s">
        <v>28</v>
      </c>
      <c r="K110" t="s">
        <v>29</v>
      </c>
      <c r="L110" t="s">
        <v>51</v>
      </c>
      <c r="M110" t="s">
        <v>58</v>
      </c>
    </row>
    <row r="111" spans="1:13" x14ac:dyDescent="0.3">
      <c r="A111" t="s">
        <v>260</v>
      </c>
      <c r="B111" t="s">
        <v>261</v>
      </c>
      <c r="C111">
        <v>75</v>
      </c>
      <c r="D111" t="s">
        <v>15</v>
      </c>
      <c r="E111" t="s">
        <v>16</v>
      </c>
      <c r="F111" t="s">
        <v>61</v>
      </c>
      <c r="G111" t="s">
        <v>27</v>
      </c>
      <c r="H111">
        <v>57195.08</v>
      </c>
      <c r="I111">
        <v>6</v>
      </c>
      <c r="J111" t="s">
        <v>19</v>
      </c>
      <c r="K111" t="s">
        <v>29</v>
      </c>
      <c r="L111" t="s">
        <v>112</v>
      </c>
      <c r="M111" t="s">
        <v>22</v>
      </c>
    </row>
    <row r="112" spans="1:13" x14ac:dyDescent="0.3">
      <c r="A112" t="s">
        <v>262</v>
      </c>
      <c r="B112" t="s">
        <v>263</v>
      </c>
      <c r="C112">
        <v>72</v>
      </c>
      <c r="D112" t="s">
        <v>15</v>
      </c>
      <c r="E112" t="s">
        <v>35</v>
      </c>
      <c r="F112" t="s">
        <v>89</v>
      </c>
      <c r="G112" t="s">
        <v>43</v>
      </c>
      <c r="H112">
        <v>140135.07999999999</v>
      </c>
      <c r="I112">
        <v>8</v>
      </c>
      <c r="J112" t="s">
        <v>28</v>
      </c>
      <c r="K112" t="s">
        <v>39</v>
      </c>
      <c r="L112" t="s">
        <v>21</v>
      </c>
      <c r="M112" t="s">
        <v>22</v>
      </c>
    </row>
    <row r="113" spans="1:13" x14ac:dyDescent="0.3">
      <c r="A113" t="s">
        <v>264</v>
      </c>
      <c r="B113" t="s">
        <v>265</v>
      </c>
      <c r="C113">
        <v>67</v>
      </c>
      <c r="D113" t="s">
        <v>34</v>
      </c>
      <c r="E113" t="s">
        <v>64</v>
      </c>
      <c r="F113" t="s">
        <v>17</v>
      </c>
      <c r="G113" t="s">
        <v>80</v>
      </c>
      <c r="H113">
        <v>59585.06</v>
      </c>
      <c r="I113">
        <v>15</v>
      </c>
      <c r="J113" t="s">
        <v>28</v>
      </c>
      <c r="K113" t="s">
        <v>20</v>
      </c>
      <c r="L113" t="s">
        <v>40</v>
      </c>
      <c r="M113" t="s">
        <v>31</v>
      </c>
    </row>
    <row r="114" spans="1:13" x14ac:dyDescent="0.3">
      <c r="A114" t="s">
        <v>266</v>
      </c>
      <c r="B114" t="s">
        <v>267</v>
      </c>
      <c r="C114">
        <v>71</v>
      </c>
      <c r="D114" t="s">
        <v>15</v>
      </c>
      <c r="E114" t="s">
        <v>83</v>
      </c>
      <c r="F114" t="s">
        <v>17</v>
      </c>
      <c r="G114" t="s">
        <v>54</v>
      </c>
      <c r="H114">
        <v>75958.899999999994</v>
      </c>
      <c r="I114">
        <v>3</v>
      </c>
      <c r="J114" t="s">
        <v>19</v>
      </c>
      <c r="K114" t="s">
        <v>20</v>
      </c>
      <c r="L114" t="s">
        <v>21</v>
      </c>
      <c r="M114" t="s">
        <v>22</v>
      </c>
    </row>
    <row r="115" spans="1:13" x14ac:dyDescent="0.3">
      <c r="A115" t="s">
        <v>268</v>
      </c>
      <c r="B115" t="s">
        <v>269</v>
      </c>
      <c r="C115">
        <v>16</v>
      </c>
      <c r="D115" t="s">
        <v>34</v>
      </c>
      <c r="E115" t="s">
        <v>64</v>
      </c>
      <c r="F115" t="s">
        <v>61</v>
      </c>
      <c r="G115" t="s">
        <v>80</v>
      </c>
      <c r="H115">
        <v>138885.89000000001</v>
      </c>
      <c r="I115">
        <v>9</v>
      </c>
      <c r="J115" t="s">
        <v>28</v>
      </c>
      <c r="K115" t="s">
        <v>50</v>
      </c>
      <c r="L115" t="s">
        <v>21</v>
      </c>
      <c r="M115" t="s">
        <v>22</v>
      </c>
    </row>
    <row r="116" spans="1:13" x14ac:dyDescent="0.3">
      <c r="A116" t="s">
        <v>270</v>
      </c>
      <c r="B116" t="s">
        <v>182</v>
      </c>
      <c r="C116">
        <v>69</v>
      </c>
      <c r="D116" t="s">
        <v>34</v>
      </c>
      <c r="E116" t="s">
        <v>83</v>
      </c>
      <c r="F116" t="s">
        <v>61</v>
      </c>
      <c r="G116" t="s">
        <v>36</v>
      </c>
      <c r="H116">
        <v>108272.14</v>
      </c>
      <c r="I116">
        <v>11</v>
      </c>
      <c r="J116" t="s">
        <v>28</v>
      </c>
      <c r="K116" t="s">
        <v>20</v>
      </c>
      <c r="L116" t="s">
        <v>45</v>
      </c>
      <c r="M116" t="s">
        <v>22</v>
      </c>
    </row>
    <row r="117" spans="1:13" x14ac:dyDescent="0.3">
      <c r="A117" t="s">
        <v>271</v>
      </c>
      <c r="B117" t="s">
        <v>272</v>
      </c>
      <c r="C117">
        <v>41</v>
      </c>
      <c r="D117" t="s">
        <v>15</v>
      </c>
      <c r="E117" t="s">
        <v>64</v>
      </c>
      <c r="F117" t="s">
        <v>79</v>
      </c>
      <c r="G117" t="s">
        <v>27</v>
      </c>
      <c r="H117">
        <v>82562.09</v>
      </c>
      <c r="I117">
        <v>18</v>
      </c>
      <c r="J117" t="s">
        <v>28</v>
      </c>
      <c r="K117" t="s">
        <v>39</v>
      </c>
      <c r="L117" t="s">
        <v>112</v>
      </c>
      <c r="M117" t="s">
        <v>22</v>
      </c>
    </row>
    <row r="118" spans="1:13" x14ac:dyDescent="0.3">
      <c r="A118" t="s">
        <v>273</v>
      </c>
      <c r="B118" t="s">
        <v>158</v>
      </c>
      <c r="C118">
        <v>32</v>
      </c>
      <c r="D118" t="s">
        <v>34</v>
      </c>
      <c r="E118" t="s">
        <v>83</v>
      </c>
      <c r="F118" t="s">
        <v>17</v>
      </c>
      <c r="G118" t="s">
        <v>54</v>
      </c>
      <c r="H118">
        <v>25742.18</v>
      </c>
      <c r="I118">
        <v>2</v>
      </c>
      <c r="J118" t="s">
        <v>28</v>
      </c>
      <c r="K118" t="s">
        <v>29</v>
      </c>
      <c r="L118" t="s">
        <v>30</v>
      </c>
      <c r="M118" t="s">
        <v>58</v>
      </c>
    </row>
    <row r="119" spans="1:13" x14ac:dyDescent="0.3">
      <c r="A119" t="s">
        <v>274</v>
      </c>
      <c r="B119" t="s">
        <v>170</v>
      </c>
      <c r="C119">
        <v>8</v>
      </c>
      <c r="D119" t="s">
        <v>15</v>
      </c>
      <c r="E119" t="s">
        <v>64</v>
      </c>
      <c r="F119" t="s">
        <v>79</v>
      </c>
      <c r="G119" t="s">
        <v>18</v>
      </c>
      <c r="H119">
        <v>109581.43</v>
      </c>
      <c r="I119">
        <v>17</v>
      </c>
      <c r="J119" t="s">
        <v>19</v>
      </c>
      <c r="K119" t="s">
        <v>74</v>
      </c>
      <c r="L119" t="s">
        <v>21</v>
      </c>
      <c r="M119" t="s">
        <v>58</v>
      </c>
    </row>
    <row r="120" spans="1:13" x14ac:dyDescent="0.3">
      <c r="A120" t="s">
        <v>275</v>
      </c>
      <c r="B120" t="s">
        <v>276</v>
      </c>
      <c r="C120">
        <v>87</v>
      </c>
      <c r="D120" t="s">
        <v>15</v>
      </c>
      <c r="E120" t="s">
        <v>16</v>
      </c>
      <c r="F120" t="s">
        <v>84</v>
      </c>
      <c r="G120" t="s">
        <v>54</v>
      </c>
      <c r="H120">
        <v>92451.3</v>
      </c>
      <c r="I120">
        <v>4</v>
      </c>
      <c r="J120" t="s">
        <v>19</v>
      </c>
      <c r="K120" t="s">
        <v>44</v>
      </c>
      <c r="L120" t="s">
        <v>40</v>
      </c>
      <c r="M120" t="s">
        <v>31</v>
      </c>
    </row>
    <row r="121" spans="1:13" x14ac:dyDescent="0.3">
      <c r="A121" t="s">
        <v>277</v>
      </c>
      <c r="B121" t="s">
        <v>278</v>
      </c>
      <c r="C121">
        <v>50</v>
      </c>
      <c r="D121" t="s">
        <v>15</v>
      </c>
      <c r="E121" t="s">
        <v>35</v>
      </c>
      <c r="F121" t="s">
        <v>26</v>
      </c>
      <c r="G121" t="s">
        <v>54</v>
      </c>
      <c r="H121">
        <v>59954.95</v>
      </c>
      <c r="I121">
        <v>1</v>
      </c>
      <c r="J121" t="s">
        <v>28</v>
      </c>
      <c r="K121" t="s">
        <v>39</v>
      </c>
      <c r="L121" t="s">
        <v>112</v>
      </c>
      <c r="M121" t="s">
        <v>31</v>
      </c>
    </row>
    <row r="122" spans="1:13" x14ac:dyDescent="0.3">
      <c r="A122" t="s">
        <v>279</v>
      </c>
      <c r="B122" t="s">
        <v>280</v>
      </c>
      <c r="C122">
        <v>36</v>
      </c>
      <c r="D122" t="s">
        <v>34</v>
      </c>
      <c r="E122" t="s">
        <v>117</v>
      </c>
      <c r="F122" t="s">
        <v>84</v>
      </c>
      <c r="G122" t="s">
        <v>36</v>
      </c>
      <c r="H122">
        <v>51143.09</v>
      </c>
      <c r="I122">
        <v>6</v>
      </c>
      <c r="J122" t="s">
        <v>19</v>
      </c>
      <c r="K122" t="s">
        <v>55</v>
      </c>
      <c r="L122" t="s">
        <v>40</v>
      </c>
      <c r="M122" t="s">
        <v>58</v>
      </c>
    </row>
    <row r="123" spans="1:13" x14ac:dyDescent="0.3">
      <c r="A123" t="s">
        <v>281</v>
      </c>
      <c r="B123" t="s">
        <v>282</v>
      </c>
      <c r="C123">
        <v>51</v>
      </c>
      <c r="D123" t="s">
        <v>15</v>
      </c>
      <c r="E123" t="s">
        <v>64</v>
      </c>
      <c r="F123" t="s">
        <v>79</v>
      </c>
      <c r="G123" t="s">
        <v>36</v>
      </c>
      <c r="H123">
        <v>71382.91</v>
      </c>
      <c r="I123">
        <v>19</v>
      </c>
      <c r="J123" t="s">
        <v>28</v>
      </c>
      <c r="K123" t="s">
        <v>39</v>
      </c>
      <c r="L123" t="s">
        <v>21</v>
      </c>
      <c r="M123" t="s">
        <v>58</v>
      </c>
    </row>
    <row r="124" spans="1:13" x14ac:dyDescent="0.3">
      <c r="A124" t="s">
        <v>283</v>
      </c>
      <c r="B124" t="s">
        <v>164</v>
      </c>
      <c r="C124">
        <v>48</v>
      </c>
      <c r="D124" t="s">
        <v>34</v>
      </c>
      <c r="E124" t="s">
        <v>83</v>
      </c>
      <c r="F124" t="s">
        <v>84</v>
      </c>
      <c r="G124" t="s">
        <v>18</v>
      </c>
      <c r="H124">
        <v>51270.48</v>
      </c>
      <c r="I124">
        <v>16</v>
      </c>
      <c r="J124" t="s">
        <v>28</v>
      </c>
      <c r="K124" t="s">
        <v>55</v>
      </c>
      <c r="L124" t="s">
        <v>40</v>
      </c>
      <c r="M124" t="s">
        <v>22</v>
      </c>
    </row>
    <row r="125" spans="1:13" x14ac:dyDescent="0.3">
      <c r="A125" t="s">
        <v>284</v>
      </c>
      <c r="B125" t="s">
        <v>285</v>
      </c>
      <c r="C125">
        <v>16</v>
      </c>
      <c r="D125" t="s">
        <v>15</v>
      </c>
      <c r="E125" t="s">
        <v>64</v>
      </c>
      <c r="F125" t="s">
        <v>26</v>
      </c>
      <c r="G125" t="s">
        <v>18</v>
      </c>
      <c r="H125">
        <v>126444.58</v>
      </c>
      <c r="I125">
        <v>20</v>
      </c>
      <c r="J125" t="s">
        <v>28</v>
      </c>
      <c r="K125" t="s">
        <v>44</v>
      </c>
      <c r="L125" t="s">
        <v>40</v>
      </c>
      <c r="M125" t="s">
        <v>58</v>
      </c>
    </row>
    <row r="126" spans="1:13" x14ac:dyDescent="0.3">
      <c r="A126" t="s">
        <v>286</v>
      </c>
      <c r="B126" t="s">
        <v>287</v>
      </c>
      <c r="C126">
        <v>19</v>
      </c>
      <c r="D126" t="s">
        <v>15</v>
      </c>
      <c r="E126" t="s">
        <v>25</v>
      </c>
      <c r="F126" t="s">
        <v>89</v>
      </c>
      <c r="G126" t="s">
        <v>36</v>
      </c>
      <c r="H126">
        <v>15345.79</v>
      </c>
      <c r="I126">
        <v>5</v>
      </c>
      <c r="J126" t="s">
        <v>28</v>
      </c>
      <c r="K126" t="s">
        <v>20</v>
      </c>
      <c r="L126" t="s">
        <v>45</v>
      </c>
      <c r="M126" t="s">
        <v>58</v>
      </c>
    </row>
    <row r="127" spans="1:13" x14ac:dyDescent="0.3">
      <c r="A127" t="s">
        <v>288</v>
      </c>
      <c r="B127" t="s">
        <v>289</v>
      </c>
      <c r="C127">
        <v>81</v>
      </c>
      <c r="D127" t="s">
        <v>15</v>
      </c>
      <c r="E127" t="s">
        <v>83</v>
      </c>
      <c r="F127" t="s">
        <v>84</v>
      </c>
      <c r="G127" t="s">
        <v>43</v>
      </c>
      <c r="H127">
        <v>25260.89</v>
      </c>
      <c r="I127">
        <v>3</v>
      </c>
      <c r="J127" t="s">
        <v>19</v>
      </c>
      <c r="K127" t="s">
        <v>55</v>
      </c>
      <c r="L127" t="s">
        <v>51</v>
      </c>
      <c r="M127" t="s">
        <v>31</v>
      </c>
    </row>
    <row r="128" spans="1:13" x14ac:dyDescent="0.3">
      <c r="A128" t="s">
        <v>290</v>
      </c>
      <c r="B128" t="s">
        <v>291</v>
      </c>
      <c r="C128">
        <v>80</v>
      </c>
      <c r="D128" t="s">
        <v>15</v>
      </c>
      <c r="E128" t="s">
        <v>16</v>
      </c>
      <c r="F128" t="s">
        <v>79</v>
      </c>
      <c r="G128" t="s">
        <v>43</v>
      </c>
      <c r="H128">
        <v>54216.45</v>
      </c>
      <c r="I128">
        <v>18</v>
      </c>
      <c r="J128" t="s">
        <v>28</v>
      </c>
      <c r="K128" t="s">
        <v>39</v>
      </c>
      <c r="L128" t="s">
        <v>30</v>
      </c>
      <c r="M128" t="s">
        <v>58</v>
      </c>
    </row>
    <row r="129" spans="1:13" x14ac:dyDescent="0.3">
      <c r="A129" t="s">
        <v>292</v>
      </c>
      <c r="B129" t="s">
        <v>293</v>
      </c>
      <c r="C129">
        <v>2</v>
      </c>
      <c r="D129" t="s">
        <v>15</v>
      </c>
      <c r="E129" t="s">
        <v>117</v>
      </c>
      <c r="F129" t="s">
        <v>89</v>
      </c>
      <c r="G129" t="s">
        <v>18</v>
      </c>
      <c r="H129">
        <v>84080.76</v>
      </c>
      <c r="I129">
        <v>11</v>
      </c>
      <c r="J129" t="s">
        <v>28</v>
      </c>
      <c r="K129" t="s">
        <v>55</v>
      </c>
      <c r="L129" t="s">
        <v>45</v>
      </c>
      <c r="M129" t="s">
        <v>22</v>
      </c>
    </row>
    <row r="130" spans="1:13" x14ac:dyDescent="0.3">
      <c r="A130" t="s">
        <v>294</v>
      </c>
      <c r="B130" t="s">
        <v>119</v>
      </c>
      <c r="C130">
        <v>90</v>
      </c>
      <c r="D130" t="s">
        <v>34</v>
      </c>
      <c r="E130" t="s">
        <v>16</v>
      </c>
      <c r="F130" t="s">
        <v>89</v>
      </c>
      <c r="G130" t="s">
        <v>36</v>
      </c>
      <c r="H130">
        <v>101177.17</v>
      </c>
      <c r="I130">
        <v>17</v>
      </c>
      <c r="J130" t="s">
        <v>19</v>
      </c>
      <c r="K130" t="s">
        <v>74</v>
      </c>
      <c r="L130" t="s">
        <v>30</v>
      </c>
      <c r="M130" t="s">
        <v>22</v>
      </c>
    </row>
    <row r="131" spans="1:13" x14ac:dyDescent="0.3">
      <c r="A131" t="s">
        <v>295</v>
      </c>
      <c r="B131" t="s">
        <v>150</v>
      </c>
      <c r="C131">
        <v>70</v>
      </c>
      <c r="D131" t="s">
        <v>15</v>
      </c>
      <c r="E131" t="s">
        <v>35</v>
      </c>
      <c r="F131" t="s">
        <v>84</v>
      </c>
      <c r="G131" t="s">
        <v>80</v>
      </c>
      <c r="H131">
        <v>102667.86</v>
      </c>
      <c r="I131">
        <v>15</v>
      </c>
      <c r="J131" t="s">
        <v>28</v>
      </c>
      <c r="K131" t="s">
        <v>20</v>
      </c>
      <c r="L131" t="s">
        <v>45</v>
      </c>
      <c r="M131" t="s">
        <v>31</v>
      </c>
    </row>
    <row r="132" spans="1:13" x14ac:dyDescent="0.3">
      <c r="A132" t="s">
        <v>296</v>
      </c>
      <c r="B132" t="s">
        <v>297</v>
      </c>
      <c r="C132">
        <v>60</v>
      </c>
      <c r="D132" t="s">
        <v>34</v>
      </c>
      <c r="E132" t="s">
        <v>35</v>
      </c>
      <c r="F132" t="s">
        <v>79</v>
      </c>
      <c r="G132" t="s">
        <v>43</v>
      </c>
      <c r="H132">
        <v>21994.95</v>
      </c>
      <c r="I132">
        <v>14</v>
      </c>
      <c r="J132" t="s">
        <v>19</v>
      </c>
      <c r="K132" t="s">
        <v>74</v>
      </c>
      <c r="L132" t="s">
        <v>112</v>
      </c>
      <c r="M132" t="s">
        <v>58</v>
      </c>
    </row>
    <row r="133" spans="1:13" x14ac:dyDescent="0.3">
      <c r="A133" t="s">
        <v>298</v>
      </c>
      <c r="B133" t="s">
        <v>299</v>
      </c>
      <c r="C133">
        <v>34</v>
      </c>
      <c r="D133" t="s">
        <v>34</v>
      </c>
      <c r="E133" t="s">
        <v>16</v>
      </c>
      <c r="F133" t="s">
        <v>17</v>
      </c>
      <c r="G133" t="s">
        <v>43</v>
      </c>
      <c r="H133">
        <v>5678.03</v>
      </c>
      <c r="I133">
        <v>5</v>
      </c>
      <c r="J133" t="s">
        <v>19</v>
      </c>
      <c r="K133" t="s">
        <v>74</v>
      </c>
      <c r="L133" t="s">
        <v>51</v>
      </c>
      <c r="M133" t="s">
        <v>31</v>
      </c>
    </row>
    <row r="134" spans="1:13" x14ac:dyDescent="0.3">
      <c r="A134" t="s">
        <v>300</v>
      </c>
      <c r="B134" t="s">
        <v>301</v>
      </c>
      <c r="C134">
        <v>41</v>
      </c>
      <c r="D134" t="s">
        <v>15</v>
      </c>
      <c r="E134" t="s">
        <v>117</v>
      </c>
      <c r="F134" t="s">
        <v>84</v>
      </c>
      <c r="G134" t="s">
        <v>27</v>
      </c>
      <c r="H134">
        <v>146186.45000000001</v>
      </c>
      <c r="I134">
        <v>9</v>
      </c>
      <c r="J134" t="s">
        <v>28</v>
      </c>
      <c r="K134" t="s">
        <v>74</v>
      </c>
      <c r="L134" t="s">
        <v>51</v>
      </c>
      <c r="M134" t="s">
        <v>31</v>
      </c>
    </row>
    <row r="135" spans="1:13" x14ac:dyDescent="0.3">
      <c r="A135" t="s">
        <v>302</v>
      </c>
      <c r="B135" t="s">
        <v>303</v>
      </c>
      <c r="C135">
        <v>13</v>
      </c>
      <c r="D135" t="s">
        <v>15</v>
      </c>
      <c r="E135" t="s">
        <v>117</v>
      </c>
      <c r="F135" t="s">
        <v>79</v>
      </c>
      <c r="G135" t="s">
        <v>80</v>
      </c>
      <c r="H135">
        <v>20970.71</v>
      </c>
      <c r="I135">
        <v>15</v>
      </c>
      <c r="J135" t="s">
        <v>19</v>
      </c>
      <c r="K135" t="s">
        <v>74</v>
      </c>
      <c r="L135" t="s">
        <v>40</v>
      </c>
      <c r="M135" t="s">
        <v>31</v>
      </c>
    </row>
    <row r="136" spans="1:13" x14ac:dyDescent="0.3">
      <c r="A136" t="s">
        <v>304</v>
      </c>
      <c r="B136" t="s">
        <v>305</v>
      </c>
      <c r="C136">
        <v>13</v>
      </c>
      <c r="D136" t="s">
        <v>15</v>
      </c>
      <c r="E136" t="s">
        <v>16</v>
      </c>
      <c r="F136" t="s">
        <v>89</v>
      </c>
      <c r="G136" t="s">
        <v>54</v>
      </c>
      <c r="H136">
        <v>135598.94</v>
      </c>
      <c r="I136">
        <v>4</v>
      </c>
      <c r="J136" t="s">
        <v>19</v>
      </c>
      <c r="K136" t="s">
        <v>20</v>
      </c>
      <c r="L136" t="s">
        <v>45</v>
      </c>
      <c r="M136" t="s">
        <v>22</v>
      </c>
    </row>
    <row r="137" spans="1:13" x14ac:dyDescent="0.3">
      <c r="A137" t="s">
        <v>306</v>
      </c>
      <c r="B137" t="s">
        <v>307</v>
      </c>
      <c r="C137">
        <v>40</v>
      </c>
      <c r="D137" t="s">
        <v>34</v>
      </c>
      <c r="E137" t="s">
        <v>16</v>
      </c>
      <c r="F137" t="s">
        <v>89</v>
      </c>
      <c r="G137" t="s">
        <v>27</v>
      </c>
      <c r="H137">
        <v>141890.85</v>
      </c>
      <c r="I137">
        <v>17</v>
      </c>
      <c r="J137" t="s">
        <v>28</v>
      </c>
      <c r="K137" t="s">
        <v>44</v>
      </c>
      <c r="L137" t="s">
        <v>40</v>
      </c>
      <c r="M137" t="s">
        <v>31</v>
      </c>
    </row>
    <row r="138" spans="1:13" x14ac:dyDescent="0.3">
      <c r="A138" t="s">
        <v>308</v>
      </c>
      <c r="B138" t="s">
        <v>309</v>
      </c>
      <c r="C138">
        <v>37</v>
      </c>
      <c r="D138" t="s">
        <v>15</v>
      </c>
      <c r="E138" t="s">
        <v>64</v>
      </c>
      <c r="F138" t="s">
        <v>79</v>
      </c>
      <c r="G138" t="s">
        <v>18</v>
      </c>
      <c r="H138">
        <v>110883.82</v>
      </c>
      <c r="I138">
        <v>18</v>
      </c>
      <c r="J138" t="s">
        <v>19</v>
      </c>
      <c r="K138" t="s">
        <v>69</v>
      </c>
      <c r="L138" t="s">
        <v>112</v>
      </c>
      <c r="M138" t="s">
        <v>22</v>
      </c>
    </row>
    <row r="139" spans="1:13" x14ac:dyDescent="0.3">
      <c r="A139" t="s">
        <v>310</v>
      </c>
      <c r="B139" t="s">
        <v>237</v>
      </c>
      <c r="C139">
        <v>38</v>
      </c>
      <c r="D139" t="s">
        <v>34</v>
      </c>
      <c r="E139" t="s">
        <v>64</v>
      </c>
      <c r="F139" t="s">
        <v>61</v>
      </c>
      <c r="G139" t="s">
        <v>27</v>
      </c>
      <c r="H139">
        <v>109898</v>
      </c>
      <c r="I139">
        <v>10</v>
      </c>
      <c r="J139" t="s">
        <v>28</v>
      </c>
      <c r="K139" t="s">
        <v>69</v>
      </c>
      <c r="L139" t="s">
        <v>112</v>
      </c>
      <c r="M139" t="s">
        <v>31</v>
      </c>
    </row>
    <row r="140" spans="1:13" x14ac:dyDescent="0.3">
      <c r="A140" t="s">
        <v>311</v>
      </c>
      <c r="B140" t="s">
        <v>312</v>
      </c>
      <c r="C140">
        <v>38</v>
      </c>
      <c r="D140" t="s">
        <v>34</v>
      </c>
      <c r="E140" t="s">
        <v>25</v>
      </c>
      <c r="F140" t="s">
        <v>89</v>
      </c>
      <c r="G140" t="s">
        <v>36</v>
      </c>
      <c r="H140">
        <v>41756.33</v>
      </c>
      <c r="I140">
        <v>8</v>
      </c>
      <c r="J140" t="s">
        <v>19</v>
      </c>
      <c r="K140" t="s">
        <v>39</v>
      </c>
      <c r="L140" t="s">
        <v>51</v>
      </c>
      <c r="M140" t="s">
        <v>58</v>
      </c>
    </row>
    <row r="141" spans="1:13" x14ac:dyDescent="0.3">
      <c r="A141" t="s">
        <v>313</v>
      </c>
      <c r="B141" t="s">
        <v>107</v>
      </c>
      <c r="C141">
        <v>5</v>
      </c>
      <c r="D141" t="s">
        <v>34</v>
      </c>
      <c r="E141" t="s">
        <v>25</v>
      </c>
      <c r="F141" t="s">
        <v>79</v>
      </c>
      <c r="G141" t="s">
        <v>80</v>
      </c>
      <c r="H141">
        <v>75126.36</v>
      </c>
      <c r="I141">
        <v>19</v>
      </c>
      <c r="J141" t="s">
        <v>19</v>
      </c>
      <c r="K141" t="s">
        <v>74</v>
      </c>
      <c r="L141" t="s">
        <v>40</v>
      </c>
      <c r="M141" t="s">
        <v>58</v>
      </c>
    </row>
    <row r="142" spans="1:13" x14ac:dyDescent="0.3">
      <c r="A142" t="s">
        <v>314</v>
      </c>
      <c r="B142" t="s">
        <v>164</v>
      </c>
      <c r="C142">
        <v>34</v>
      </c>
      <c r="D142" t="s">
        <v>34</v>
      </c>
      <c r="E142" t="s">
        <v>64</v>
      </c>
      <c r="F142" t="s">
        <v>17</v>
      </c>
      <c r="G142" t="s">
        <v>36</v>
      </c>
      <c r="H142">
        <v>65444.45</v>
      </c>
      <c r="I142">
        <v>13</v>
      </c>
      <c r="J142" t="s">
        <v>19</v>
      </c>
      <c r="K142" t="s">
        <v>44</v>
      </c>
      <c r="L142" t="s">
        <v>40</v>
      </c>
      <c r="M142" t="s">
        <v>22</v>
      </c>
    </row>
    <row r="143" spans="1:13" x14ac:dyDescent="0.3">
      <c r="A143" t="s">
        <v>315</v>
      </c>
      <c r="B143" t="s">
        <v>316</v>
      </c>
      <c r="C143">
        <v>69</v>
      </c>
      <c r="D143" t="s">
        <v>15</v>
      </c>
      <c r="E143" t="s">
        <v>16</v>
      </c>
      <c r="F143" t="s">
        <v>84</v>
      </c>
      <c r="G143" t="s">
        <v>18</v>
      </c>
      <c r="H143">
        <v>25052.99</v>
      </c>
      <c r="I143">
        <v>17</v>
      </c>
      <c r="J143" t="s">
        <v>28</v>
      </c>
      <c r="K143" t="s">
        <v>74</v>
      </c>
      <c r="L143" t="s">
        <v>21</v>
      </c>
      <c r="M143" t="s">
        <v>22</v>
      </c>
    </row>
    <row r="144" spans="1:13" x14ac:dyDescent="0.3">
      <c r="A144" t="s">
        <v>317</v>
      </c>
      <c r="B144" t="s">
        <v>318</v>
      </c>
      <c r="C144">
        <v>42</v>
      </c>
      <c r="D144" t="s">
        <v>15</v>
      </c>
      <c r="E144" t="s">
        <v>35</v>
      </c>
      <c r="F144" t="s">
        <v>84</v>
      </c>
      <c r="G144" t="s">
        <v>80</v>
      </c>
      <c r="H144">
        <v>147928.82999999999</v>
      </c>
      <c r="I144">
        <v>4</v>
      </c>
      <c r="J144" t="s">
        <v>28</v>
      </c>
      <c r="K144" t="s">
        <v>20</v>
      </c>
      <c r="L144" t="s">
        <v>40</v>
      </c>
      <c r="M144" t="s">
        <v>22</v>
      </c>
    </row>
    <row r="145" spans="1:13" x14ac:dyDescent="0.3">
      <c r="A145" t="s">
        <v>319</v>
      </c>
      <c r="B145" t="s">
        <v>320</v>
      </c>
      <c r="C145">
        <v>59</v>
      </c>
      <c r="D145" t="s">
        <v>15</v>
      </c>
      <c r="E145" t="s">
        <v>16</v>
      </c>
      <c r="F145" t="s">
        <v>79</v>
      </c>
      <c r="G145" t="s">
        <v>36</v>
      </c>
      <c r="H145">
        <v>78864.61</v>
      </c>
      <c r="I145">
        <v>6</v>
      </c>
      <c r="J145" t="s">
        <v>19</v>
      </c>
      <c r="K145" t="s">
        <v>39</v>
      </c>
      <c r="L145" t="s">
        <v>30</v>
      </c>
      <c r="M145" t="s">
        <v>22</v>
      </c>
    </row>
    <row r="146" spans="1:13" x14ac:dyDescent="0.3">
      <c r="A146" t="s">
        <v>321</v>
      </c>
      <c r="B146" t="s">
        <v>322</v>
      </c>
      <c r="C146">
        <v>70</v>
      </c>
      <c r="D146" t="s">
        <v>15</v>
      </c>
      <c r="E146" t="s">
        <v>83</v>
      </c>
      <c r="F146" t="s">
        <v>61</v>
      </c>
      <c r="G146" t="s">
        <v>54</v>
      </c>
      <c r="H146">
        <v>101460.08</v>
      </c>
      <c r="I146">
        <v>9</v>
      </c>
      <c r="J146" t="s">
        <v>28</v>
      </c>
      <c r="K146" t="s">
        <v>20</v>
      </c>
      <c r="L146" t="s">
        <v>112</v>
      </c>
      <c r="M146" t="s">
        <v>22</v>
      </c>
    </row>
    <row r="147" spans="1:13" x14ac:dyDescent="0.3">
      <c r="A147" t="s">
        <v>323</v>
      </c>
      <c r="B147" t="s">
        <v>324</v>
      </c>
      <c r="C147">
        <v>29</v>
      </c>
      <c r="D147" t="s">
        <v>34</v>
      </c>
      <c r="E147" t="s">
        <v>25</v>
      </c>
      <c r="F147" t="s">
        <v>61</v>
      </c>
      <c r="G147" t="s">
        <v>18</v>
      </c>
      <c r="H147">
        <v>24932.14</v>
      </c>
      <c r="I147">
        <v>19</v>
      </c>
      <c r="J147" t="s">
        <v>19</v>
      </c>
      <c r="K147" t="s">
        <v>50</v>
      </c>
      <c r="L147" t="s">
        <v>40</v>
      </c>
      <c r="M147" t="s">
        <v>58</v>
      </c>
    </row>
    <row r="148" spans="1:13" x14ac:dyDescent="0.3">
      <c r="A148" t="s">
        <v>325</v>
      </c>
      <c r="B148" t="s">
        <v>326</v>
      </c>
      <c r="C148">
        <v>74</v>
      </c>
      <c r="D148" t="s">
        <v>15</v>
      </c>
      <c r="E148" t="s">
        <v>35</v>
      </c>
      <c r="F148" t="s">
        <v>89</v>
      </c>
      <c r="G148" t="s">
        <v>43</v>
      </c>
      <c r="H148">
        <v>32625.22</v>
      </c>
      <c r="I148">
        <v>16</v>
      </c>
      <c r="J148" t="s">
        <v>19</v>
      </c>
      <c r="K148" t="s">
        <v>69</v>
      </c>
      <c r="L148" t="s">
        <v>21</v>
      </c>
      <c r="M148" t="s">
        <v>31</v>
      </c>
    </row>
    <row r="149" spans="1:13" x14ac:dyDescent="0.3">
      <c r="A149" t="s">
        <v>327</v>
      </c>
      <c r="B149" t="s">
        <v>328</v>
      </c>
      <c r="C149">
        <v>19</v>
      </c>
      <c r="D149" t="s">
        <v>34</v>
      </c>
      <c r="E149" t="s">
        <v>83</v>
      </c>
      <c r="F149" t="s">
        <v>26</v>
      </c>
      <c r="G149" t="s">
        <v>36</v>
      </c>
      <c r="H149">
        <v>105087.75</v>
      </c>
      <c r="I149">
        <v>5</v>
      </c>
      <c r="J149" t="s">
        <v>28</v>
      </c>
      <c r="K149" t="s">
        <v>74</v>
      </c>
      <c r="L149" t="s">
        <v>51</v>
      </c>
      <c r="M149" t="s">
        <v>22</v>
      </c>
    </row>
    <row r="150" spans="1:13" x14ac:dyDescent="0.3">
      <c r="A150" t="s">
        <v>329</v>
      </c>
      <c r="B150" t="s">
        <v>330</v>
      </c>
      <c r="C150">
        <v>36</v>
      </c>
      <c r="D150" t="s">
        <v>34</v>
      </c>
      <c r="E150" t="s">
        <v>83</v>
      </c>
      <c r="F150" t="s">
        <v>89</v>
      </c>
      <c r="G150" t="s">
        <v>43</v>
      </c>
      <c r="H150">
        <v>29035.93</v>
      </c>
      <c r="I150">
        <v>8</v>
      </c>
      <c r="J150" t="s">
        <v>19</v>
      </c>
      <c r="K150" t="s">
        <v>69</v>
      </c>
      <c r="L150" t="s">
        <v>40</v>
      </c>
      <c r="M150" t="s">
        <v>58</v>
      </c>
    </row>
    <row r="151" spans="1:13" x14ac:dyDescent="0.3">
      <c r="A151" t="s">
        <v>331</v>
      </c>
      <c r="B151" t="s">
        <v>114</v>
      </c>
      <c r="C151">
        <v>89</v>
      </c>
      <c r="D151" t="s">
        <v>34</v>
      </c>
      <c r="E151" t="s">
        <v>83</v>
      </c>
      <c r="F151" t="s">
        <v>26</v>
      </c>
      <c r="G151" t="s">
        <v>80</v>
      </c>
      <c r="H151">
        <v>58040.93</v>
      </c>
      <c r="I151">
        <v>4</v>
      </c>
      <c r="J151" t="s">
        <v>28</v>
      </c>
      <c r="K151" t="s">
        <v>44</v>
      </c>
      <c r="L151" t="s">
        <v>21</v>
      </c>
      <c r="M151" t="s">
        <v>22</v>
      </c>
    </row>
    <row r="152" spans="1:13" x14ac:dyDescent="0.3">
      <c r="A152" t="s">
        <v>332</v>
      </c>
      <c r="B152" t="s">
        <v>333</v>
      </c>
      <c r="C152">
        <v>80</v>
      </c>
      <c r="D152" t="s">
        <v>34</v>
      </c>
      <c r="E152" t="s">
        <v>64</v>
      </c>
      <c r="F152" t="s">
        <v>79</v>
      </c>
      <c r="G152" t="s">
        <v>54</v>
      </c>
      <c r="H152">
        <v>10306.5</v>
      </c>
      <c r="I152">
        <v>9</v>
      </c>
      <c r="J152" t="s">
        <v>19</v>
      </c>
      <c r="K152" t="s">
        <v>39</v>
      </c>
      <c r="L152" t="s">
        <v>51</v>
      </c>
      <c r="M152" t="s">
        <v>58</v>
      </c>
    </row>
    <row r="153" spans="1:13" x14ac:dyDescent="0.3">
      <c r="A153" t="s">
        <v>334</v>
      </c>
      <c r="B153" t="s">
        <v>335</v>
      </c>
      <c r="C153">
        <v>7</v>
      </c>
      <c r="D153" t="s">
        <v>34</v>
      </c>
      <c r="E153" t="s">
        <v>117</v>
      </c>
      <c r="F153" t="s">
        <v>17</v>
      </c>
      <c r="G153" t="s">
        <v>43</v>
      </c>
      <c r="H153">
        <v>32937.39</v>
      </c>
      <c r="I153">
        <v>18</v>
      </c>
      <c r="J153" t="s">
        <v>28</v>
      </c>
      <c r="K153" t="s">
        <v>50</v>
      </c>
      <c r="L153" t="s">
        <v>112</v>
      </c>
      <c r="M153" t="s">
        <v>22</v>
      </c>
    </row>
    <row r="154" spans="1:13" x14ac:dyDescent="0.3">
      <c r="A154" t="s">
        <v>336</v>
      </c>
      <c r="B154" t="s">
        <v>101</v>
      </c>
      <c r="C154">
        <v>63</v>
      </c>
      <c r="D154" t="s">
        <v>15</v>
      </c>
      <c r="E154" t="s">
        <v>64</v>
      </c>
      <c r="F154" t="s">
        <v>61</v>
      </c>
      <c r="G154" t="s">
        <v>54</v>
      </c>
      <c r="H154">
        <v>33478.21</v>
      </c>
      <c r="I154">
        <v>13</v>
      </c>
      <c r="J154" t="s">
        <v>28</v>
      </c>
      <c r="K154" t="s">
        <v>20</v>
      </c>
      <c r="L154" t="s">
        <v>51</v>
      </c>
      <c r="M154" t="s">
        <v>31</v>
      </c>
    </row>
    <row r="155" spans="1:13" x14ac:dyDescent="0.3">
      <c r="A155" t="s">
        <v>337</v>
      </c>
      <c r="B155" t="s">
        <v>338</v>
      </c>
      <c r="C155">
        <v>38</v>
      </c>
      <c r="D155" t="s">
        <v>15</v>
      </c>
      <c r="E155" t="s">
        <v>16</v>
      </c>
      <c r="F155" t="s">
        <v>79</v>
      </c>
      <c r="G155" t="s">
        <v>54</v>
      </c>
      <c r="H155">
        <v>56576.81</v>
      </c>
      <c r="I155">
        <v>8</v>
      </c>
      <c r="J155" t="s">
        <v>19</v>
      </c>
      <c r="K155" t="s">
        <v>55</v>
      </c>
      <c r="L155" t="s">
        <v>40</v>
      </c>
      <c r="M155" t="s">
        <v>58</v>
      </c>
    </row>
    <row r="156" spans="1:13" x14ac:dyDescent="0.3">
      <c r="A156" t="s">
        <v>339</v>
      </c>
      <c r="B156" t="s">
        <v>340</v>
      </c>
      <c r="C156">
        <v>75</v>
      </c>
      <c r="D156" t="s">
        <v>34</v>
      </c>
      <c r="E156" t="s">
        <v>64</v>
      </c>
      <c r="F156" t="s">
        <v>79</v>
      </c>
      <c r="G156" t="s">
        <v>54</v>
      </c>
      <c r="H156">
        <v>104910.8</v>
      </c>
      <c r="I156">
        <v>4</v>
      </c>
      <c r="J156" t="s">
        <v>19</v>
      </c>
      <c r="K156" t="s">
        <v>69</v>
      </c>
      <c r="L156" t="s">
        <v>51</v>
      </c>
      <c r="M156" t="s">
        <v>31</v>
      </c>
    </row>
    <row r="157" spans="1:13" x14ac:dyDescent="0.3">
      <c r="A157" t="s">
        <v>341</v>
      </c>
      <c r="B157" t="s">
        <v>342</v>
      </c>
      <c r="C157">
        <v>67</v>
      </c>
      <c r="D157" t="s">
        <v>34</v>
      </c>
      <c r="E157" t="s">
        <v>25</v>
      </c>
      <c r="F157" t="s">
        <v>26</v>
      </c>
      <c r="G157" t="s">
        <v>36</v>
      </c>
      <c r="H157">
        <v>68124.19</v>
      </c>
      <c r="I157">
        <v>17</v>
      </c>
      <c r="J157" t="s">
        <v>19</v>
      </c>
      <c r="K157" t="s">
        <v>50</v>
      </c>
      <c r="L157" t="s">
        <v>21</v>
      </c>
      <c r="M157" t="s">
        <v>58</v>
      </c>
    </row>
    <row r="158" spans="1:13" x14ac:dyDescent="0.3">
      <c r="A158" t="s">
        <v>343</v>
      </c>
      <c r="B158" t="s">
        <v>344</v>
      </c>
      <c r="C158">
        <v>33</v>
      </c>
      <c r="D158" t="s">
        <v>15</v>
      </c>
      <c r="E158" t="s">
        <v>25</v>
      </c>
      <c r="F158" t="s">
        <v>61</v>
      </c>
      <c r="G158" t="s">
        <v>80</v>
      </c>
      <c r="H158">
        <v>32817.93</v>
      </c>
      <c r="I158">
        <v>15</v>
      </c>
      <c r="J158" t="s">
        <v>19</v>
      </c>
      <c r="K158" t="s">
        <v>20</v>
      </c>
      <c r="L158" t="s">
        <v>112</v>
      </c>
      <c r="M158" t="s">
        <v>22</v>
      </c>
    </row>
    <row r="159" spans="1:13" x14ac:dyDescent="0.3">
      <c r="A159" t="s">
        <v>345</v>
      </c>
      <c r="B159" t="s">
        <v>346</v>
      </c>
      <c r="C159">
        <v>81</v>
      </c>
      <c r="D159" t="s">
        <v>34</v>
      </c>
      <c r="E159" t="s">
        <v>83</v>
      </c>
      <c r="F159" t="s">
        <v>26</v>
      </c>
      <c r="G159" t="s">
        <v>54</v>
      </c>
      <c r="H159">
        <v>149893.07999999999</v>
      </c>
      <c r="I159">
        <v>16</v>
      </c>
      <c r="J159" t="s">
        <v>19</v>
      </c>
      <c r="K159" t="s">
        <v>69</v>
      </c>
      <c r="L159" t="s">
        <v>40</v>
      </c>
      <c r="M159" t="s">
        <v>22</v>
      </c>
    </row>
    <row r="160" spans="1:13" x14ac:dyDescent="0.3">
      <c r="A160" t="s">
        <v>347</v>
      </c>
      <c r="B160" t="s">
        <v>348</v>
      </c>
      <c r="C160">
        <v>29</v>
      </c>
      <c r="D160" t="s">
        <v>34</v>
      </c>
      <c r="E160" t="s">
        <v>64</v>
      </c>
      <c r="F160" t="s">
        <v>17</v>
      </c>
      <c r="G160" t="s">
        <v>54</v>
      </c>
      <c r="H160">
        <v>121408.64</v>
      </c>
      <c r="I160">
        <v>19</v>
      </c>
      <c r="J160" t="s">
        <v>19</v>
      </c>
      <c r="K160" t="s">
        <v>44</v>
      </c>
      <c r="L160" t="s">
        <v>45</v>
      </c>
      <c r="M160" t="s">
        <v>22</v>
      </c>
    </row>
    <row r="161" spans="1:13" x14ac:dyDescent="0.3">
      <c r="A161" t="s">
        <v>349</v>
      </c>
      <c r="B161" t="s">
        <v>350</v>
      </c>
      <c r="C161">
        <v>73</v>
      </c>
      <c r="D161" t="s">
        <v>34</v>
      </c>
      <c r="E161" t="s">
        <v>16</v>
      </c>
      <c r="F161" t="s">
        <v>61</v>
      </c>
      <c r="G161" t="s">
        <v>36</v>
      </c>
      <c r="H161">
        <v>48789.760000000002</v>
      </c>
      <c r="I161">
        <v>13</v>
      </c>
      <c r="J161" t="s">
        <v>28</v>
      </c>
      <c r="K161" t="s">
        <v>44</v>
      </c>
      <c r="L161" t="s">
        <v>40</v>
      </c>
      <c r="M161" t="s">
        <v>58</v>
      </c>
    </row>
    <row r="162" spans="1:13" x14ac:dyDescent="0.3">
      <c r="A162" t="s">
        <v>351</v>
      </c>
      <c r="B162" t="s">
        <v>160</v>
      </c>
      <c r="C162">
        <v>56</v>
      </c>
      <c r="D162" t="s">
        <v>15</v>
      </c>
      <c r="E162" t="s">
        <v>64</v>
      </c>
      <c r="F162" t="s">
        <v>89</v>
      </c>
      <c r="G162" t="s">
        <v>36</v>
      </c>
      <c r="H162">
        <v>45410.67</v>
      </c>
      <c r="I162">
        <v>11</v>
      </c>
      <c r="J162" t="s">
        <v>19</v>
      </c>
      <c r="K162" t="s">
        <v>39</v>
      </c>
      <c r="L162" t="s">
        <v>51</v>
      </c>
      <c r="M162" t="s">
        <v>31</v>
      </c>
    </row>
    <row r="163" spans="1:13" x14ac:dyDescent="0.3">
      <c r="A163" t="s">
        <v>352</v>
      </c>
      <c r="B163" t="s">
        <v>353</v>
      </c>
      <c r="C163">
        <v>42</v>
      </c>
      <c r="D163" t="s">
        <v>15</v>
      </c>
      <c r="E163" t="s">
        <v>64</v>
      </c>
      <c r="F163" t="s">
        <v>89</v>
      </c>
      <c r="G163" t="s">
        <v>27</v>
      </c>
      <c r="H163">
        <v>74230.320000000007</v>
      </c>
      <c r="I163">
        <v>18</v>
      </c>
      <c r="J163" t="s">
        <v>28</v>
      </c>
      <c r="K163" t="s">
        <v>50</v>
      </c>
      <c r="L163" t="s">
        <v>45</v>
      </c>
      <c r="M163" t="s">
        <v>22</v>
      </c>
    </row>
    <row r="164" spans="1:13" x14ac:dyDescent="0.3">
      <c r="A164" t="s">
        <v>354</v>
      </c>
      <c r="B164" t="s">
        <v>355</v>
      </c>
      <c r="C164">
        <v>60</v>
      </c>
      <c r="D164" t="s">
        <v>34</v>
      </c>
      <c r="E164" t="s">
        <v>64</v>
      </c>
      <c r="F164" t="s">
        <v>26</v>
      </c>
      <c r="G164" t="s">
        <v>36</v>
      </c>
      <c r="H164">
        <v>57674.43</v>
      </c>
      <c r="I164">
        <v>9</v>
      </c>
      <c r="J164" t="s">
        <v>19</v>
      </c>
      <c r="K164" t="s">
        <v>20</v>
      </c>
      <c r="L164" t="s">
        <v>112</v>
      </c>
      <c r="M164" t="s">
        <v>31</v>
      </c>
    </row>
    <row r="165" spans="1:13" x14ac:dyDescent="0.3">
      <c r="A165" t="s">
        <v>356</v>
      </c>
      <c r="B165" t="s">
        <v>101</v>
      </c>
      <c r="C165">
        <v>75</v>
      </c>
      <c r="D165" t="s">
        <v>34</v>
      </c>
      <c r="E165" t="s">
        <v>35</v>
      </c>
      <c r="F165" t="s">
        <v>26</v>
      </c>
      <c r="G165" t="s">
        <v>80</v>
      </c>
      <c r="H165">
        <v>85242.49</v>
      </c>
      <c r="I165">
        <v>9</v>
      </c>
      <c r="J165" t="s">
        <v>28</v>
      </c>
      <c r="K165" t="s">
        <v>69</v>
      </c>
      <c r="L165" t="s">
        <v>40</v>
      </c>
      <c r="M165" t="s">
        <v>58</v>
      </c>
    </row>
    <row r="166" spans="1:13" x14ac:dyDescent="0.3">
      <c r="A166" t="s">
        <v>357</v>
      </c>
      <c r="B166" t="s">
        <v>318</v>
      </c>
      <c r="C166">
        <v>50</v>
      </c>
      <c r="D166" t="s">
        <v>15</v>
      </c>
      <c r="E166" t="s">
        <v>117</v>
      </c>
      <c r="F166" t="s">
        <v>17</v>
      </c>
      <c r="G166" t="s">
        <v>27</v>
      </c>
      <c r="H166">
        <v>49456.72</v>
      </c>
      <c r="I166">
        <v>18</v>
      </c>
      <c r="J166" t="s">
        <v>28</v>
      </c>
      <c r="K166" t="s">
        <v>39</v>
      </c>
      <c r="L166" t="s">
        <v>45</v>
      </c>
      <c r="M166" t="s">
        <v>31</v>
      </c>
    </row>
    <row r="167" spans="1:13" x14ac:dyDescent="0.3">
      <c r="A167" t="s">
        <v>358</v>
      </c>
      <c r="B167" t="s">
        <v>299</v>
      </c>
      <c r="C167">
        <v>69</v>
      </c>
      <c r="D167" t="s">
        <v>34</v>
      </c>
      <c r="E167" t="s">
        <v>117</v>
      </c>
      <c r="F167" t="s">
        <v>17</v>
      </c>
      <c r="G167" t="s">
        <v>54</v>
      </c>
      <c r="H167">
        <v>30937.09</v>
      </c>
      <c r="I167">
        <v>19</v>
      </c>
      <c r="J167" t="s">
        <v>28</v>
      </c>
      <c r="K167" t="s">
        <v>29</v>
      </c>
      <c r="L167" t="s">
        <v>112</v>
      </c>
      <c r="M167" t="s">
        <v>31</v>
      </c>
    </row>
    <row r="168" spans="1:13" x14ac:dyDescent="0.3">
      <c r="A168" t="s">
        <v>359</v>
      </c>
      <c r="B168" t="s">
        <v>360</v>
      </c>
      <c r="C168">
        <v>16</v>
      </c>
      <c r="D168" t="s">
        <v>34</v>
      </c>
      <c r="E168" t="s">
        <v>16</v>
      </c>
      <c r="F168" t="s">
        <v>89</v>
      </c>
      <c r="G168" t="s">
        <v>18</v>
      </c>
      <c r="H168">
        <v>100729.28</v>
      </c>
      <c r="I168">
        <v>20</v>
      </c>
      <c r="J168" t="s">
        <v>28</v>
      </c>
      <c r="K168" t="s">
        <v>69</v>
      </c>
      <c r="L168" t="s">
        <v>45</v>
      </c>
      <c r="M168" t="s">
        <v>58</v>
      </c>
    </row>
    <row r="169" spans="1:13" x14ac:dyDescent="0.3">
      <c r="A169" t="s">
        <v>361</v>
      </c>
      <c r="B169" t="s">
        <v>362</v>
      </c>
      <c r="C169">
        <v>37</v>
      </c>
      <c r="D169" t="s">
        <v>15</v>
      </c>
      <c r="E169" t="s">
        <v>16</v>
      </c>
      <c r="F169" t="s">
        <v>84</v>
      </c>
      <c r="G169" t="s">
        <v>18</v>
      </c>
      <c r="H169">
        <v>120418.46</v>
      </c>
      <c r="I169">
        <v>1</v>
      </c>
      <c r="J169" t="s">
        <v>28</v>
      </c>
      <c r="K169" t="s">
        <v>39</v>
      </c>
      <c r="L169" t="s">
        <v>51</v>
      </c>
      <c r="M169" t="s">
        <v>31</v>
      </c>
    </row>
    <row r="170" spans="1:13" x14ac:dyDescent="0.3">
      <c r="A170" t="s">
        <v>363</v>
      </c>
      <c r="B170" t="s">
        <v>280</v>
      </c>
      <c r="C170">
        <v>47</v>
      </c>
      <c r="D170" t="s">
        <v>15</v>
      </c>
      <c r="E170" t="s">
        <v>35</v>
      </c>
      <c r="F170" t="s">
        <v>61</v>
      </c>
      <c r="G170" t="s">
        <v>27</v>
      </c>
      <c r="H170">
        <v>147890</v>
      </c>
      <c r="I170">
        <v>12</v>
      </c>
      <c r="J170" t="s">
        <v>28</v>
      </c>
      <c r="K170" t="s">
        <v>20</v>
      </c>
      <c r="L170" t="s">
        <v>45</v>
      </c>
      <c r="M170" t="s">
        <v>31</v>
      </c>
    </row>
    <row r="171" spans="1:13" x14ac:dyDescent="0.3">
      <c r="A171" t="s">
        <v>364</v>
      </c>
      <c r="B171" t="s">
        <v>178</v>
      </c>
      <c r="C171">
        <v>57</v>
      </c>
      <c r="D171" t="s">
        <v>15</v>
      </c>
      <c r="E171" t="s">
        <v>64</v>
      </c>
      <c r="F171" t="s">
        <v>61</v>
      </c>
      <c r="G171" t="s">
        <v>27</v>
      </c>
      <c r="H171">
        <v>111204.48</v>
      </c>
      <c r="I171">
        <v>10</v>
      </c>
      <c r="J171" t="s">
        <v>28</v>
      </c>
      <c r="K171" t="s">
        <v>29</v>
      </c>
      <c r="L171" t="s">
        <v>21</v>
      </c>
      <c r="M171" t="s">
        <v>31</v>
      </c>
    </row>
    <row r="172" spans="1:13" x14ac:dyDescent="0.3">
      <c r="A172" t="s">
        <v>365</v>
      </c>
      <c r="B172" t="s">
        <v>366</v>
      </c>
      <c r="C172">
        <v>9</v>
      </c>
      <c r="D172" t="s">
        <v>34</v>
      </c>
      <c r="E172" t="s">
        <v>16</v>
      </c>
      <c r="F172" t="s">
        <v>89</v>
      </c>
      <c r="G172" t="s">
        <v>36</v>
      </c>
      <c r="H172">
        <v>19189.259999999998</v>
      </c>
      <c r="I172">
        <v>16</v>
      </c>
      <c r="J172" t="s">
        <v>28</v>
      </c>
      <c r="K172" t="s">
        <v>39</v>
      </c>
      <c r="L172" t="s">
        <v>40</v>
      </c>
      <c r="M172" t="s">
        <v>58</v>
      </c>
    </row>
    <row r="173" spans="1:13" x14ac:dyDescent="0.3">
      <c r="A173" t="s">
        <v>367</v>
      </c>
      <c r="B173" t="s">
        <v>368</v>
      </c>
      <c r="C173">
        <v>52</v>
      </c>
      <c r="D173" t="s">
        <v>15</v>
      </c>
      <c r="E173" t="s">
        <v>16</v>
      </c>
      <c r="F173" t="s">
        <v>84</v>
      </c>
      <c r="G173" t="s">
        <v>54</v>
      </c>
      <c r="H173">
        <v>3994.9</v>
      </c>
      <c r="I173">
        <v>4</v>
      </c>
      <c r="J173" t="s">
        <v>28</v>
      </c>
      <c r="K173" t="s">
        <v>20</v>
      </c>
      <c r="L173" t="s">
        <v>51</v>
      </c>
      <c r="M173" t="s">
        <v>58</v>
      </c>
    </row>
    <row r="174" spans="1:13" x14ac:dyDescent="0.3">
      <c r="A174" t="s">
        <v>369</v>
      </c>
      <c r="B174" t="s">
        <v>156</v>
      </c>
      <c r="C174">
        <v>80</v>
      </c>
      <c r="D174" t="s">
        <v>34</v>
      </c>
      <c r="E174" t="s">
        <v>16</v>
      </c>
      <c r="F174" t="s">
        <v>26</v>
      </c>
      <c r="G174" t="s">
        <v>54</v>
      </c>
      <c r="H174">
        <v>111842.26</v>
      </c>
      <c r="I174">
        <v>18</v>
      </c>
      <c r="J174" t="s">
        <v>28</v>
      </c>
      <c r="K174" t="s">
        <v>20</v>
      </c>
      <c r="L174" t="s">
        <v>112</v>
      </c>
      <c r="M174" t="s">
        <v>22</v>
      </c>
    </row>
    <row r="175" spans="1:13" x14ac:dyDescent="0.3">
      <c r="A175" t="s">
        <v>370</v>
      </c>
      <c r="B175" t="s">
        <v>371</v>
      </c>
      <c r="C175">
        <v>51</v>
      </c>
      <c r="D175" t="s">
        <v>15</v>
      </c>
      <c r="E175" t="s">
        <v>64</v>
      </c>
      <c r="F175" t="s">
        <v>17</v>
      </c>
      <c r="G175" t="s">
        <v>18</v>
      </c>
      <c r="H175">
        <v>123570.79</v>
      </c>
      <c r="I175">
        <v>16</v>
      </c>
      <c r="J175" t="s">
        <v>28</v>
      </c>
      <c r="K175" t="s">
        <v>55</v>
      </c>
      <c r="L175" t="s">
        <v>112</v>
      </c>
      <c r="M175" t="s">
        <v>58</v>
      </c>
    </row>
    <row r="176" spans="1:13" x14ac:dyDescent="0.3">
      <c r="A176" t="s">
        <v>372</v>
      </c>
      <c r="B176" t="s">
        <v>373</v>
      </c>
      <c r="C176">
        <v>28</v>
      </c>
      <c r="D176" t="s">
        <v>34</v>
      </c>
      <c r="E176" t="s">
        <v>117</v>
      </c>
      <c r="F176" t="s">
        <v>26</v>
      </c>
      <c r="G176" t="s">
        <v>80</v>
      </c>
      <c r="H176">
        <v>4318.79</v>
      </c>
      <c r="I176">
        <v>11</v>
      </c>
      <c r="J176" t="s">
        <v>28</v>
      </c>
      <c r="K176" t="s">
        <v>74</v>
      </c>
      <c r="L176" t="s">
        <v>30</v>
      </c>
      <c r="M176" t="s">
        <v>58</v>
      </c>
    </row>
    <row r="177" spans="1:13" x14ac:dyDescent="0.3">
      <c r="A177" t="s">
        <v>374</v>
      </c>
      <c r="B177" t="s">
        <v>375</v>
      </c>
      <c r="C177">
        <v>43</v>
      </c>
      <c r="D177" t="s">
        <v>34</v>
      </c>
      <c r="E177" t="s">
        <v>16</v>
      </c>
      <c r="F177" t="s">
        <v>79</v>
      </c>
      <c r="G177" t="s">
        <v>80</v>
      </c>
      <c r="H177">
        <v>135580.44</v>
      </c>
      <c r="I177">
        <v>18</v>
      </c>
      <c r="J177" t="s">
        <v>28</v>
      </c>
      <c r="K177" t="s">
        <v>69</v>
      </c>
      <c r="L177" t="s">
        <v>45</v>
      </c>
      <c r="M177" t="s">
        <v>22</v>
      </c>
    </row>
    <row r="178" spans="1:13" x14ac:dyDescent="0.3">
      <c r="A178" t="s">
        <v>376</v>
      </c>
      <c r="B178" t="s">
        <v>377</v>
      </c>
      <c r="C178">
        <v>17</v>
      </c>
      <c r="D178" t="s">
        <v>15</v>
      </c>
      <c r="E178" t="s">
        <v>35</v>
      </c>
      <c r="F178" t="s">
        <v>89</v>
      </c>
      <c r="G178" t="s">
        <v>27</v>
      </c>
      <c r="H178">
        <v>121579.79</v>
      </c>
      <c r="I178">
        <v>15</v>
      </c>
      <c r="J178" t="s">
        <v>28</v>
      </c>
      <c r="K178" t="s">
        <v>50</v>
      </c>
      <c r="L178" t="s">
        <v>45</v>
      </c>
      <c r="M178" t="s">
        <v>22</v>
      </c>
    </row>
    <row r="179" spans="1:13" x14ac:dyDescent="0.3">
      <c r="A179" t="s">
        <v>378</v>
      </c>
      <c r="B179" t="s">
        <v>379</v>
      </c>
      <c r="C179">
        <v>30</v>
      </c>
      <c r="D179" t="s">
        <v>34</v>
      </c>
      <c r="E179" t="s">
        <v>83</v>
      </c>
      <c r="F179" t="s">
        <v>17</v>
      </c>
      <c r="G179" t="s">
        <v>54</v>
      </c>
      <c r="H179">
        <v>83451.149999999994</v>
      </c>
      <c r="I179">
        <v>18</v>
      </c>
      <c r="J179" t="s">
        <v>19</v>
      </c>
      <c r="K179" t="s">
        <v>44</v>
      </c>
      <c r="L179" t="s">
        <v>30</v>
      </c>
      <c r="M179" t="s">
        <v>58</v>
      </c>
    </row>
    <row r="180" spans="1:13" x14ac:dyDescent="0.3">
      <c r="A180" t="s">
        <v>380</v>
      </c>
      <c r="B180" t="s">
        <v>381</v>
      </c>
      <c r="C180">
        <v>62</v>
      </c>
      <c r="D180" t="s">
        <v>34</v>
      </c>
      <c r="E180" t="s">
        <v>25</v>
      </c>
      <c r="F180" t="s">
        <v>84</v>
      </c>
      <c r="G180" t="s">
        <v>27</v>
      </c>
      <c r="H180">
        <v>38093.03</v>
      </c>
      <c r="I180">
        <v>8</v>
      </c>
      <c r="J180" t="s">
        <v>19</v>
      </c>
      <c r="K180" t="s">
        <v>50</v>
      </c>
      <c r="L180" t="s">
        <v>112</v>
      </c>
      <c r="M180" t="s">
        <v>31</v>
      </c>
    </row>
    <row r="181" spans="1:13" x14ac:dyDescent="0.3">
      <c r="A181" t="s">
        <v>382</v>
      </c>
      <c r="B181" t="s">
        <v>383</v>
      </c>
      <c r="C181">
        <v>10</v>
      </c>
      <c r="D181" t="s">
        <v>15</v>
      </c>
      <c r="E181" t="s">
        <v>35</v>
      </c>
      <c r="F181" t="s">
        <v>17</v>
      </c>
      <c r="G181" t="s">
        <v>27</v>
      </c>
      <c r="H181">
        <v>76559.8</v>
      </c>
      <c r="I181">
        <v>17</v>
      </c>
      <c r="J181" t="s">
        <v>19</v>
      </c>
      <c r="K181" t="s">
        <v>74</v>
      </c>
      <c r="L181" t="s">
        <v>51</v>
      </c>
      <c r="M181" t="s">
        <v>58</v>
      </c>
    </row>
    <row r="182" spans="1:13" x14ac:dyDescent="0.3">
      <c r="A182" t="s">
        <v>384</v>
      </c>
      <c r="B182" t="s">
        <v>385</v>
      </c>
      <c r="C182">
        <v>50</v>
      </c>
      <c r="D182" t="s">
        <v>15</v>
      </c>
      <c r="E182" t="s">
        <v>64</v>
      </c>
      <c r="F182" t="s">
        <v>61</v>
      </c>
      <c r="G182" t="s">
        <v>80</v>
      </c>
      <c r="H182">
        <v>122605.94</v>
      </c>
      <c r="I182">
        <v>8</v>
      </c>
      <c r="J182" t="s">
        <v>19</v>
      </c>
      <c r="K182" t="s">
        <v>44</v>
      </c>
      <c r="L182" t="s">
        <v>40</v>
      </c>
      <c r="M182" t="s">
        <v>31</v>
      </c>
    </row>
    <row r="183" spans="1:13" x14ac:dyDescent="0.3">
      <c r="A183" t="s">
        <v>386</v>
      </c>
      <c r="B183" t="s">
        <v>387</v>
      </c>
      <c r="C183">
        <v>37</v>
      </c>
      <c r="D183" t="s">
        <v>34</v>
      </c>
      <c r="E183" t="s">
        <v>16</v>
      </c>
      <c r="F183" t="s">
        <v>17</v>
      </c>
      <c r="G183" t="s">
        <v>18</v>
      </c>
      <c r="H183">
        <v>10216.67</v>
      </c>
      <c r="I183">
        <v>16</v>
      </c>
      <c r="J183" t="s">
        <v>28</v>
      </c>
      <c r="K183" t="s">
        <v>69</v>
      </c>
      <c r="L183" t="s">
        <v>21</v>
      </c>
      <c r="M183" t="s">
        <v>31</v>
      </c>
    </row>
    <row r="184" spans="1:13" x14ac:dyDescent="0.3">
      <c r="A184" t="s">
        <v>388</v>
      </c>
      <c r="B184" t="s">
        <v>205</v>
      </c>
      <c r="C184">
        <v>3</v>
      </c>
      <c r="D184" t="s">
        <v>15</v>
      </c>
      <c r="E184" t="s">
        <v>35</v>
      </c>
      <c r="F184" t="s">
        <v>26</v>
      </c>
      <c r="G184" t="s">
        <v>43</v>
      </c>
      <c r="H184">
        <v>142487.32999999999</v>
      </c>
      <c r="I184">
        <v>16</v>
      </c>
      <c r="J184" t="s">
        <v>19</v>
      </c>
      <c r="K184" t="s">
        <v>55</v>
      </c>
      <c r="L184" t="s">
        <v>21</v>
      </c>
      <c r="M184" t="s">
        <v>22</v>
      </c>
    </row>
    <row r="185" spans="1:13" x14ac:dyDescent="0.3">
      <c r="A185" t="s">
        <v>389</v>
      </c>
      <c r="B185" t="s">
        <v>390</v>
      </c>
      <c r="C185">
        <v>32</v>
      </c>
      <c r="D185" t="s">
        <v>34</v>
      </c>
      <c r="E185" t="s">
        <v>35</v>
      </c>
      <c r="F185" t="s">
        <v>89</v>
      </c>
      <c r="G185" t="s">
        <v>36</v>
      </c>
      <c r="H185">
        <v>35485.79</v>
      </c>
      <c r="I185">
        <v>19</v>
      </c>
      <c r="J185" t="s">
        <v>28</v>
      </c>
      <c r="K185" t="s">
        <v>55</v>
      </c>
      <c r="L185" t="s">
        <v>21</v>
      </c>
      <c r="M185" t="s">
        <v>58</v>
      </c>
    </row>
    <row r="186" spans="1:13" x14ac:dyDescent="0.3">
      <c r="A186" t="s">
        <v>391</v>
      </c>
      <c r="B186" t="s">
        <v>312</v>
      </c>
      <c r="C186">
        <v>85</v>
      </c>
      <c r="D186" t="s">
        <v>34</v>
      </c>
      <c r="E186" t="s">
        <v>16</v>
      </c>
      <c r="F186" t="s">
        <v>17</v>
      </c>
      <c r="G186" t="s">
        <v>18</v>
      </c>
      <c r="H186">
        <v>3554.05</v>
      </c>
      <c r="I186">
        <v>2</v>
      </c>
      <c r="J186" t="s">
        <v>19</v>
      </c>
      <c r="K186" t="s">
        <v>55</v>
      </c>
      <c r="L186" t="s">
        <v>112</v>
      </c>
      <c r="M186" t="s">
        <v>22</v>
      </c>
    </row>
    <row r="187" spans="1:13" x14ac:dyDescent="0.3">
      <c r="A187" t="s">
        <v>392</v>
      </c>
      <c r="B187" t="s">
        <v>393</v>
      </c>
      <c r="C187">
        <v>84</v>
      </c>
      <c r="D187" t="s">
        <v>15</v>
      </c>
      <c r="E187" t="s">
        <v>25</v>
      </c>
      <c r="F187" t="s">
        <v>61</v>
      </c>
      <c r="G187" t="s">
        <v>43</v>
      </c>
      <c r="H187">
        <v>102310.87</v>
      </c>
      <c r="I187">
        <v>9</v>
      </c>
      <c r="J187" t="s">
        <v>19</v>
      </c>
      <c r="K187" t="s">
        <v>20</v>
      </c>
      <c r="L187" t="s">
        <v>112</v>
      </c>
      <c r="M187" t="s">
        <v>31</v>
      </c>
    </row>
    <row r="188" spans="1:13" x14ac:dyDescent="0.3">
      <c r="A188" t="s">
        <v>394</v>
      </c>
      <c r="B188" t="s">
        <v>395</v>
      </c>
      <c r="C188">
        <v>71</v>
      </c>
      <c r="D188" t="s">
        <v>34</v>
      </c>
      <c r="E188" t="s">
        <v>16</v>
      </c>
      <c r="F188" t="s">
        <v>84</v>
      </c>
      <c r="G188" t="s">
        <v>43</v>
      </c>
      <c r="H188">
        <v>8877.7000000000007</v>
      </c>
      <c r="I188">
        <v>3</v>
      </c>
      <c r="J188" t="s">
        <v>28</v>
      </c>
      <c r="K188" t="s">
        <v>55</v>
      </c>
      <c r="L188" t="s">
        <v>40</v>
      </c>
      <c r="M188" t="s">
        <v>31</v>
      </c>
    </row>
    <row r="189" spans="1:13" x14ac:dyDescent="0.3">
      <c r="A189" t="s">
        <v>396</v>
      </c>
      <c r="B189" t="s">
        <v>397</v>
      </c>
      <c r="C189">
        <v>26</v>
      </c>
      <c r="D189" t="s">
        <v>34</v>
      </c>
      <c r="E189" t="s">
        <v>25</v>
      </c>
      <c r="F189" t="s">
        <v>17</v>
      </c>
      <c r="G189" t="s">
        <v>36</v>
      </c>
      <c r="H189">
        <v>148456.74</v>
      </c>
      <c r="I189">
        <v>14</v>
      </c>
      <c r="J189" t="s">
        <v>19</v>
      </c>
      <c r="K189" t="s">
        <v>74</v>
      </c>
      <c r="L189" t="s">
        <v>51</v>
      </c>
      <c r="M189" t="s">
        <v>58</v>
      </c>
    </row>
    <row r="190" spans="1:13" x14ac:dyDescent="0.3">
      <c r="A190" t="s">
        <v>398</v>
      </c>
      <c r="B190" t="s">
        <v>399</v>
      </c>
      <c r="C190">
        <v>68</v>
      </c>
      <c r="D190" t="s">
        <v>34</v>
      </c>
      <c r="E190" t="s">
        <v>117</v>
      </c>
      <c r="F190" t="s">
        <v>61</v>
      </c>
      <c r="G190" t="s">
        <v>80</v>
      </c>
      <c r="H190">
        <v>36340.410000000003</v>
      </c>
      <c r="I190">
        <v>15</v>
      </c>
      <c r="J190" t="s">
        <v>19</v>
      </c>
      <c r="K190" t="s">
        <v>20</v>
      </c>
      <c r="L190" t="s">
        <v>21</v>
      </c>
      <c r="M190" t="s">
        <v>22</v>
      </c>
    </row>
    <row r="191" spans="1:13" x14ac:dyDescent="0.3">
      <c r="A191" t="s">
        <v>400</v>
      </c>
      <c r="B191" t="s">
        <v>401</v>
      </c>
      <c r="C191">
        <v>51</v>
      </c>
      <c r="D191" t="s">
        <v>15</v>
      </c>
      <c r="E191" t="s">
        <v>35</v>
      </c>
      <c r="F191" t="s">
        <v>84</v>
      </c>
      <c r="G191" t="s">
        <v>54</v>
      </c>
      <c r="H191">
        <v>13601.29</v>
      </c>
      <c r="I191">
        <v>3</v>
      </c>
      <c r="J191" t="s">
        <v>19</v>
      </c>
      <c r="K191" t="s">
        <v>39</v>
      </c>
      <c r="L191" t="s">
        <v>21</v>
      </c>
      <c r="M191" t="s">
        <v>31</v>
      </c>
    </row>
    <row r="192" spans="1:13" x14ac:dyDescent="0.3">
      <c r="A192" t="s">
        <v>402</v>
      </c>
      <c r="B192" t="s">
        <v>403</v>
      </c>
      <c r="C192">
        <v>45</v>
      </c>
      <c r="D192" t="s">
        <v>15</v>
      </c>
      <c r="E192" t="s">
        <v>117</v>
      </c>
      <c r="F192" t="s">
        <v>26</v>
      </c>
      <c r="G192" t="s">
        <v>54</v>
      </c>
      <c r="H192">
        <v>108190.61</v>
      </c>
      <c r="I192">
        <v>9</v>
      </c>
      <c r="J192" t="s">
        <v>28</v>
      </c>
      <c r="K192" t="s">
        <v>20</v>
      </c>
      <c r="L192" t="s">
        <v>45</v>
      </c>
      <c r="M192" t="s">
        <v>31</v>
      </c>
    </row>
    <row r="193" spans="1:13" x14ac:dyDescent="0.3">
      <c r="A193" t="s">
        <v>404</v>
      </c>
      <c r="B193" t="s">
        <v>405</v>
      </c>
      <c r="C193">
        <v>19</v>
      </c>
      <c r="D193" t="s">
        <v>15</v>
      </c>
      <c r="E193" t="s">
        <v>64</v>
      </c>
      <c r="F193" t="s">
        <v>26</v>
      </c>
      <c r="G193" t="s">
        <v>54</v>
      </c>
      <c r="H193">
        <v>128462.83</v>
      </c>
      <c r="I193">
        <v>8</v>
      </c>
      <c r="J193" t="s">
        <v>19</v>
      </c>
      <c r="K193" t="s">
        <v>74</v>
      </c>
      <c r="L193" t="s">
        <v>112</v>
      </c>
      <c r="M193" t="s">
        <v>22</v>
      </c>
    </row>
    <row r="194" spans="1:13" x14ac:dyDescent="0.3">
      <c r="A194" t="s">
        <v>406</v>
      </c>
      <c r="B194" t="s">
        <v>366</v>
      </c>
      <c r="C194">
        <v>82</v>
      </c>
      <c r="D194" t="s">
        <v>34</v>
      </c>
      <c r="E194" t="s">
        <v>25</v>
      </c>
      <c r="F194" t="s">
        <v>26</v>
      </c>
      <c r="G194" t="s">
        <v>27</v>
      </c>
      <c r="H194">
        <v>109267.48</v>
      </c>
      <c r="I194">
        <v>8</v>
      </c>
      <c r="J194" t="s">
        <v>19</v>
      </c>
      <c r="K194" t="s">
        <v>29</v>
      </c>
      <c r="L194" t="s">
        <v>40</v>
      </c>
      <c r="M194" t="s">
        <v>31</v>
      </c>
    </row>
    <row r="195" spans="1:13" x14ac:dyDescent="0.3">
      <c r="A195" t="s">
        <v>407</v>
      </c>
      <c r="B195" t="s">
        <v>251</v>
      </c>
      <c r="C195">
        <v>73</v>
      </c>
      <c r="D195" t="s">
        <v>15</v>
      </c>
      <c r="E195" t="s">
        <v>117</v>
      </c>
      <c r="F195" t="s">
        <v>84</v>
      </c>
      <c r="G195" t="s">
        <v>27</v>
      </c>
      <c r="H195">
        <v>78897.33</v>
      </c>
      <c r="I195">
        <v>9</v>
      </c>
      <c r="J195" t="s">
        <v>19</v>
      </c>
      <c r="K195" t="s">
        <v>44</v>
      </c>
      <c r="L195" t="s">
        <v>45</v>
      </c>
      <c r="M195" t="s">
        <v>22</v>
      </c>
    </row>
    <row r="196" spans="1:13" x14ac:dyDescent="0.3">
      <c r="A196" t="s">
        <v>408</v>
      </c>
      <c r="B196" t="s">
        <v>133</v>
      </c>
      <c r="C196">
        <v>51</v>
      </c>
      <c r="D196" t="s">
        <v>34</v>
      </c>
      <c r="E196" t="s">
        <v>16</v>
      </c>
      <c r="F196" t="s">
        <v>84</v>
      </c>
      <c r="G196" t="s">
        <v>80</v>
      </c>
      <c r="H196">
        <v>132288.54999999999</v>
      </c>
      <c r="I196">
        <v>5</v>
      </c>
      <c r="J196" t="s">
        <v>28</v>
      </c>
      <c r="K196" t="s">
        <v>29</v>
      </c>
      <c r="L196" t="s">
        <v>40</v>
      </c>
      <c r="M196" t="s">
        <v>58</v>
      </c>
    </row>
    <row r="197" spans="1:13" x14ac:dyDescent="0.3">
      <c r="A197" t="s">
        <v>409</v>
      </c>
      <c r="B197" t="s">
        <v>410</v>
      </c>
      <c r="C197">
        <v>4</v>
      </c>
      <c r="D197" t="s">
        <v>34</v>
      </c>
      <c r="E197" t="s">
        <v>83</v>
      </c>
      <c r="F197" t="s">
        <v>79</v>
      </c>
      <c r="G197" t="s">
        <v>36</v>
      </c>
      <c r="H197">
        <v>8483.65</v>
      </c>
      <c r="I197">
        <v>11</v>
      </c>
      <c r="J197" t="s">
        <v>19</v>
      </c>
      <c r="K197" t="s">
        <v>69</v>
      </c>
      <c r="L197" t="s">
        <v>40</v>
      </c>
      <c r="M197" t="s">
        <v>22</v>
      </c>
    </row>
    <row r="198" spans="1:13" x14ac:dyDescent="0.3">
      <c r="A198" t="s">
        <v>411</v>
      </c>
      <c r="B198" t="s">
        <v>412</v>
      </c>
      <c r="C198">
        <v>18</v>
      </c>
      <c r="D198" t="s">
        <v>34</v>
      </c>
      <c r="E198" t="s">
        <v>25</v>
      </c>
      <c r="F198" t="s">
        <v>61</v>
      </c>
      <c r="G198" t="s">
        <v>36</v>
      </c>
      <c r="H198">
        <v>83443.61</v>
      </c>
      <c r="I198">
        <v>7</v>
      </c>
      <c r="J198" t="s">
        <v>28</v>
      </c>
      <c r="K198" t="s">
        <v>29</v>
      </c>
      <c r="L198" t="s">
        <v>40</v>
      </c>
      <c r="M198" t="s">
        <v>22</v>
      </c>
    </row>
    <row r="199" spans="1:13" x14ac:dyDescent="0.3">
      <c r="A199" t="s">
        <v>413</v>
      </c>
      <c r="B199" t="s">
        <v>312</v>
      </c>
      <c r="C199">
        <v>29</v>
      </c>
      <c r="D199" t="s">
        <v>15</v>
      </c>
      <c r="E199" t="s">
        <v>64</v>
      </c>
      <c r="F199" t="s">
        <v>84</v>
      </c>
      <c r="G199" t="s">
        <v>27</v>
      </c>
      <c r="H199">
        <v>77121.72</v>
      </c>
      <c r="I199">
        <v>10</v>
      </c>
      <c r="J199" t="s">
        <v>28</v>
      </c>
      <c r="K199" t="s">
        <v>44</v>
      </c>
      <c r="L199" t="s">
        <v>30</v>
      </c>
      <c r="M199" t="s">
        <v>58</v>
      </c>
    </row>
    <row r="200" spans="1:13" x14ac:dyDescent="0.3">
      <c r="A200" t="s">
        <v>414</v>
      </c>
      <c r="B200" t="s">
        <v>196</v>
      </c>
      <c r="C200">
        <v>16</v>
      </c>
      <c r="D200" t="s">
        <v>34</v>
      </c>
      <c r="E200" t="s">
        <v>16</v>
      </c>
      <c r="F200" t="s">
        <v>84</v>
      </c>
      <c r="G200" t="s">
        <v>18</v>
      </c>
      <c r="H200">
        <v>107639.07</v>
      </c>
      <c r="I200">
        <v>3</v>
      </c>
      <c r="J200" t="s">
        <v>19</v>
      </c>
      <c r="K200" t="s">
        <v>44</v>
      </c>
      <c r="L200" t="s">
        <v>30</v>
      </c>
      <c r="M200" t="s">
        <v>22</v>
      </c>
    </row>
    <row r="201" spans="1:13" x14ac:dyDescent="0.3">
      <c r="A201" t="s">
        <v>415</v>
      </c>
      <c r="B201" t="s">
        <v>416</v>
      </c>
      <c r="C201">
        <v>53</v>
      </c>
      <c r="D201" t="s">
        <v>15</v>
      </c>
      <c r="E201" t="s">
        <v>35</v>
      </c>
      <c r="F201" t="s">
        <v>26</v>
      </c>
      <c r="G201" t="s">
        <v>18</v>
      </c>
      <c r="H201">
        <v>59025.71</v>
      </c>
      <c r="I201">
        <v>7</v>
      </c>
      <c r="J201" t="s">
        <v>19</v>
      </c>
      <c r="K201" t="s">
        <v>29</v>
      </c>
      <c r="L201" t="s">
        <v>21</v>
      </c>
      <c r="M201" t="s">
        <v>31</v>
      </c>
    </row>
    <row r="202" spans="1:13" x14ac:dyDescent="0.3">
      <c r="A202" t="s">
        <v>417</v>
      </c>
      <c r="B202" t="s">
        <v>418</v>
      </c>
      <c r="C202">
        <v>44</v>
      </c>
      <c r="D202" t="s">
        <v>34</v>
      </c>
      <c r="E202" t="s">
        <v>35</v>
      </c>
      <c r="F202" t="s">
        <v>26</v>
      </c>
      <c r="G202" t="s">
        <v>80</v>
      </c>
      <c r="H202">
        <v>8001.32</v>
      </c>
      <c r="I202">
        <v>10</v>
      </c>
      <c r="J202" t="s">
        <v>28</v>
      </c>
      <c r="K202" t="s">
        <v>55</v>
      </c>
      <c r="L202" t="s">
        <v>21</v>
      </c>
      <c r="M202" t="s">
        <v>22</v>
      </c>
    </row>
    <row r="203" spans="1:13" x14ac:dyDescent="0.3">
      <c r="A203" t="s">
        <v>419</v>
      </c>
      <c r="B203" t="s">
        <v>420</v>
      </c>
      <c r="C203">
        <v>16</v>
      </c>
      <c r="D203" t="s">
        <v>15</v>
      </c>
      <c r="E203" t="s">
        <v>35</v>
      </c>
      <c r="F203" t="s">
        <v>84</v>
      </c>
      <c r="G203" t="s">
        <v>43</v>
      </c>
      <c r="H203">
        <v>82475.39</v>
      </c>
      <c r="I203">
        <v>19</v>
      </c>
      <c r="J203" t="s">
        <v>28</v>
      </c>
      <c r="K203" t="s">
        <v>20</v>
      </c>
      <c r="L203" t="s">
        <v>21</v>
      </c>
      <c r="M203" t="s">
        <v>31</v>
      </c>
    </row>
    <row r="204" spans="1:13" x14ac:dyDescent="0.3">
      <c r="A204" t="s">
        <v>421</v>
      </c>
      <c r="B204" t="s">
        <v>170</v>
      </c>
      <c r="C204">
        <v>5</v>
      </c>
      <c r="D204" t="s">
        <v>34</v>
      </c>
      <c r="E204" t="s">
        <v>64</v>
      </c>
      <c r="F204" t="s">
        <v>89</v>
      </c>
      <c r="G204" t="s">
        <v>80</v>
      </c>
      <c r="H204">
        <v>105409.12</v>
      </c>
      <c r="I204">
        <v>11</v>
      </c>
      <c r="J204" t="s">
        <v>28</v>
      </c>
      <c r="K204" t="s">
        <v>29</v>
      </c>
      <c r="L204" t="s">
        <v>30</v>
      </c>
      <c r="M204" t="s">
        <v>31</v>
      </c>
    </row>
    <row r="205" spans="1:13" x14ac:dyDescent="0.3">
      <c r="A205" t="s">
        <v>422</v>
      </c>
      <c r="B205" t="s">
        <v>423</v>
      </c>
      <c r="C205">
        <v>52</v>
      </c>
      <c r="D205" t="s">
        <v>15</v>
      </c>
      <c r="E205" t="s">
        <v>83</v>
      </c>
      <c r="F205" t="s">
        <v>79</v>
      </c>
      <c r="G205" t="s">
        <v>43</v>
      </c>
      <c r="H205">
        <v>88650.22</v>
      </c>
      <c r="I205">
        <v>11</v>
      </c>
      <c r="J205" t="s">
        <v>28</v>
      </c>
      <c r="K205" t="s">
        <v>29</v>
      </c>
      <c r="L205" t="s">
        <v>30</v>
      </c>
      <c r="M205" t="s">
        <v>58</v>
      </c>
    </row>
    <row r="206" spans="1:13" x14ac:dyDescent="0.3">
      <c r="A206" t="s">
        <v>424</v>
      </c>
      <c r="B206" t="s">
        <v>399</v>
      </c>
      <c r="C206">
        <v>59</v>
      </c>
      <c r="D206" t="s">
        <v>15</v>
      </c>
      <c r="E206" t="s">
        <v>16</v>
      </c>
      <c r="F206" t="s">
        <v>26</v>
      </c>
      <c r="G206" t="s">
        <v>43</v>
      </c>
      <c r="H206">
        <v>99458.77</v>
      </c>
      <c r="I206">
        <v>20</v>
      </c>
      <c r="J206" t="s">
        <v>19</v>
      </c>
      <c r="K206" t="s">
        <v>50</v>
      </c>
      <c r="L206" t="s">
        <v>30</v>
      </c>
      <c r="M206" t="s">
        <v>22</v>
      </c>
    </row>
    <row r="207" spans="1:13" x14ac:dyDescent="0.3">
      <c r="A207" t="s">
        <v>425</v>
      </c>
      <c r="B207" t="s">
        <v>426</v>
      </c>
      <c r="C207">
        <v>62</v>
      </c>
      <c r="D207" t="s">
        <v>15</v>
      </c>
      <c r="E207" t="s">
        <v>117</v>
      </c>
      <c r="F207" t="s">
        <v>89</v>
      </c>
      <c r="G207" t="s">
        <v>80</v>
      </c>
      <c r="H207">
        <v>106411.08</v>
      </c>
      <c r="I207">
        <v>8</v>
      </c>
      <c r="J207" t="s">
        <v>19</v>
      </c>
      <c r="K207" t="s">
        <v>39</v>
      </c>
      <c r="L207" t="s">
        <v>30</v>
      </c>
      <c r="M207" t="s">
        <v>58</v>
      </c>
    </row>
    <row r="208" spans="1:13" x14ac:dyDescent="0.3">
      <c r="A208" t="s">
        <v>427</v>
      </c>
      <c r="B208" t="s">
        <v>428</v>
      </c>
      <c r="C208">
        <v>7</v>
      </c>
      <c r="D208" t="s">
        <v>34</v>
      </c>
      <c r="E208" t="s">
        <v>117</v>
      </c>
      <c r="F208" t="s">
        <v>89</v>
      </c>
      <c r="G208" t="s">
        <v>43</v>
      </c>
      <c r="H208">
        <v>102774.9</v>
      </c>
      <c r="I208">
        <v>3</v>
      </c>
      <c r="J208" t="s">
        <v>28</v>
      </c>
      <c r="K208" t="s">
        <v>74</v>
      </c>
      <c r="L208" t="s">
        <v>30</v>
      </c>
      <c r="M208" t="s">
        <v>22</v>
      </c>
    </row>
    <row r="209" spans="1:13" x14ac:dyDescent="0.3">
      <c r="A209" t="s">
        <v>429</v>
      </c>
      <c r="B209" t="s">
        <v>430</v>
      </c>
      <c r="C209">
        <v>40</v>
      </c>
      <c r="D209" t="s">
        <v>15</v>
      </c>
      <c r="E209" t="s">
        <v>35</v>
      </c>
      <c r="F209" t="s">
        <v>84</v>
      </c>
      <c r="G209" t="s">
        <v>27</v>
      </c>
      <c r="H209">
        <v>106053.36</v>
      </c>
      <c r="I209">
        <v>5</v>
      </c>
      <c r="J209" t="s">
        <v>19</v>
      </c>
      <c r="K209" t="s">
        <v>39</v>
      </c>
      <c r="L209" t="s">
        <v>51</v>
      </c>
      <c r="M209" t="s">
        <v>58</v>
      </c>
    </row>
    <row r="210" spans="1:13" x14ac:dyDescent="0.3">
      <c r="A210" t="s">
        <v>431</v>
      </c>
      <c r="B210" t="s">
        <v>432</v>
      </c>
      <c r="C210">
        <v>81</v>
      </c>
      <c r="D210" t="s">
        <v>34</v>
      </c>
      <c r="E210" t="s">
        <v>83</v>
      </c>
      <c r="F210" t="s">
        <v>26</v>
      </c>
      <c r="G210" t="s">
        <v>80</v>
      </c>
      <c r="H210">
        <v>37680.35</v>
      </c>
      <c r="I210">
        <v>1</v>
      </c>
      <c r="J210" t="s">
        <v>19</v>
      </c>
      <c r="K210" t="s">
        <v>74</v>
      </c>
      <c r="L210" t="s">
        <v>30</v>
      </c>
      <c r="M210" t="s">
        <v>22</v>
      </c>
    </row>
    <row r="211" spans="1:13" x14ac:dyDescent="0.3">
      <c r="A211" t="s">
        <v>433</v>
      </c>
      <c r="B211" t="s">
        <v>434</v>
      </c>
      <c r="C211">
        <v>10</v>
      </c>
      <c r="D211" t="s">
        <v>15</v>
      </c>
      <c r="E211" t="s">
        <v>16</v>
      </c>
      <c r="F211" t="s">
        <v>26</v>
      </c>
      <c r="G211" t="s">
        <v>43</v>
      </c>
      <c r="H211">
        <v>64867.48</v>
      </c>
      <c r="I211">
        <v>13</v>
      </c>
      <c r="J211" t="s">
        <v>28</v>
      </c>
      <c r="K211" t="s">
        <v>20</v>
      </c>
      <c r="L211" t="s">
        <v>51</v>
      </c>
      <c r="M211" t="s">
        <v>31</v>
      </c>
    </row>
    <row r="212" spans="1:13" x14ac:dyDescent="0.3">
      <c r="A212" t="s">
        <v>435</v>
      </c>
      <c r="B212" t="s">
        <v>436</v>
      </c>
      <c r="C212">
        <v>78</v>
      </c>
      <c r="D212" t="s">
        <v>34</v>
      </c>
      <c r="E212" t="s">
        <v>117</v>
      </c>
      <c r="F212" t="s">
        <v>84</v>
      </c>
      <c r="G212" t="s">
        <v>43</v>
      </c>
      <c r="H212">
        <v>102196.08</v>
      </c>
      <c r="I212">
        <v>12</v>
      </c>
      <c r="J212" t="s">
        <v>28</v>
      </c>
      <c r="K212" t="s">
        <v>50</v>
      </c>
      <c r="L212" t="s">
        <v>112</v>
      </c>
      <c r="M212" t="s">
        <v>31</v>
      </c>
    </row>
    <row r="213" spans="1:13" x14ac:dyDescent="0.3">
      <c r="A213" t="s">
        <v>437</v>
      </c>
      <c r="B213" t="s">
        <v>438</v>
      </c>
      <c r="C213">
        <v>88</v>
      </c>
      <c r="D213" t="s">
        <v>34</v>
      </c>
      <c r="E213" t="s">
        <v>16</v>
      </c>
      <c r="F213" t="s">
        <v>89</v>
      </c>
      <c r="G213" t="s">
        <v>80</v>
      </c>
      <c r="H213">
        <v>1098.8800000000001</v>
      </c>
      <c r="I213">
        <v>8</v>
      </c>
      <c r="J213" t="s">
        <v>28</v>
      </c>
      <c r="K213" t="s">
        <v>29</v>
      </c>
      <c r="L213" t="s">
        <v>40</v>
      </c>
      <c r="M213" t="s">
        <v>22</v>
      </c>
    </row>
    <row r="214" spans="1:13" x14ac:dyDescent="0.3">
      <c r="A214" t="s">
        <v>439</v>
      </c>
      <c r="B214" t="s">
        <v>297</v>
      </c>
      <c r="C214">
        <v>44</v>
      </c>
      <c r="D214" t="s">
        <v>15</v>
      </c>
      <c r="E214" t="s">
        <v>16</v>
      </c>
      <c r="F214" t="s">
        <v>17</v>
      </c>
      <c r="G214" t="s">
        <v>80</v>
      </c>
      <c r="H214">
        <v>143836.34</v>
      </c>
      <c r="I214">
        <v>4</v>
      </c>
      <c r="J214" t="s">
        <v>19</v>
      </c>
      <c r="K214" t="s">
        <v>39</v>
      </c>
      <c r="L214" t="s">
        <v>112</v>
      </c>
      <c r="M214" t="s">
        <v>31</v>
      </c>
    </row>
    <row r="215" spans="1:13" x14ac:dyDescent="0.3">
      <c r="A215" t="s">
        <v>440</v>
      </c>
      <c r="B215" t="s">
        <v>235</v>
      </c>
      <c r="C215">
        <v>84</v>
      </c>
      <c r="D215" t="s">
        <v>34</v>
      </c>
      <c r="E215" t="s">
        <v>25</v>
      </c>
      <c r="F215" t="s">
        <v>89</v>
      </c>
      <c r="G215" t="s">
        <v>27</v>
      </c>
      <c r="H215">
        <v>50268.69</v>
      </c>
      <c r="I215">
        <v>6</v>
      </c>
      <c r="J215" t="s">
        <v>19</v>
      </c>
      <c r="K215" t="s">
        <v>69</v>
      </c>
      <c r="L215" t="s">
        <v>30</v>
      </c>
      <c r="M215" t="s">
        <v>22</v>
      </c>
    </row>
    <row r="216" spans="1:13" x14ac:dyDescent="0.3">
      <c r="A216" t="s">
        <v>441</v>
      </c>
      <c r="B216" t="s">
        <v>442</v>
      </c>
      <c r="C216">
        <v>44</v>
      </c>
      <c r="D216" t="s">
        <v>34</v>
      </c>
      <c r="E216" t="s">
        <v>25</v>
      </c>
      <c r="F216" t="s">
        <v>26</v>
      </c>
      <c r="G216" t="s">
        <v>18</v>
      </c>
      <c r="H216">
        <v>56414.05</v>
      </c>
      <c r="I216">
        <v>5</v>
      </c>
      <c r="J216" t="s">
        <v>19</v>
      </c>
      <c r="K216" t="s">
        <v>29</v>
      </c>
      <c r="L216" t="s">
        <v>21</v>
      </c>
      <c r="M216" t="s">
        <v>22</v>
      </c>
    </row>
    <row r="217" spans="1:13" x14ac:dyDescent="0.3">
      <c r="A217" t="s">
        <v>443</v>
      </c>
      <c r="B217" t="s">
        <v>353</v>
      </c>
      <c r="C217">
        <v>55</v>
      </c>
      <c r="D217" t="s">
        <v>34</v>
      </c>
      <c r="E217" t="s">
        <v>83</v>
      </c>
      <c r="F217" t="s">
        <v>61</v>
      </c>
      <c r="G217" t="s">
        <v>18</v>
      </c>
      <c r="H217">
        <v>8189.27</v>
      </c>
      <c r="I217">
        <v>14</v>
      </c>
      <c r="J217" t="s">
        <v>19</v>
      </c>
      <c r="K217" t="s">
        <v>29</v>
      </c>
      <c r="L217" t="s">
        <v>112</v>
      </c>
      <c r="M217" t="s">
        <v>22</v>
      </c>
    </row>
    <row r="218" spans="1:13" x14ac:dyDescent="0.3">
      <c r="A218" t="s">
        <v>444</v>
      </c>
      <c r="B218" t="s">
        <v>445</v>
      </c>
      <c r="C218">
        <v>76</v>
      </c>
      <c r="D218" t="s">
        <v>34</v>
      </c>
      <c r="E218" t="s">
        <v>83</v>
      </c>
      <c r="F218" t="s">
        <v>17</v>
      </c>
      <c r="G218" t="s">
        <v>27</v>
      </c>
      <c r="H218">
        <v>121651.09</v>
      </c>
      <c r="I218">
        <v>16</v>
      </c>
      <c r="J218" t="s">
        <v>28</v>
      </c>
      <c r="K218" t="s">
        <v>50</v>
      </c>
      <c r="L218" t="s">
        <v>40</v>
      </c>
      <c r="M218" t="s">
        <v>22</v>
      </c>
    </row>
    <row r="219" spans="1:13" x14ac:dyDescent="0.3">
      <c r="A219" t="s">
        <v>446</v>
      </c>
      <c r="B219" t="s">
        <v>141</v>
      </c>
      <c r="C219">
        <v>70</v>
      </c>
      <c r="D219" t="s">
        <v>15</v>
      </c>
      <c r="E219" t="s">
        <v>83</v>
      </c>
      <c r="F219" t="s">
        <v>17</v>
      </c>
      <c r="G219" t="s">
        <v>43</v>
      </c>
      <c r="H219">
        <v>15232.6</v>
      </c>
      <c r="I219">
        <v>13</v>
      </c>
      <c r="J219" t="s">
        <v>19</v>
      </c>
      <c r="K219" t="s">
        <v>55</v>
      </c>
      <c r="L219" t="s">
        <v>30</v>
      </c>
      <c r="M219" t="s">
        <v>58</v>
      </c>
    </row>
    <row r="220" spans="1:13" x14ac:dyDescent="0.3">
      <c r="A220" t="s">
        <v>447</v>
      </c>
      <c r="B220" t="s">
        <v>184</v>
      </c>
      <c r="C220">
        <v>33</v>
      </c>
      <c r="D220" t="s">
        <v>34</v>
      </c>
      <c r="E220" t="s">
        <v>117</v>
      </c>
      <c r="F220" t="s">
        <v>79</v>
      </c>
      <c r="G220" t="s">
        <v>54</v>
      </c>
      <c r="H220">
        <v>111661.42</v>
      </c>
      <c r="I220">
        <v>11</v>
      </c>
      <c r="J220" t="s">
        <v>28</v>
      </c>
      <c r="K220" t="s">
        <v>55</v>
      </c>
      <c r="L220" t="s">
        <v>21</v>
      </c>
      <c r="M220" t="s">
        <v>31</v>
      </c>
    </row>
    <row r="221" spans="1:13" x14ac:dyDescent="0.3">
      <c r="A221" t="s">
        <v>448</v>
      </c>
      <c r="B221" t="s">
        <v>449</v>
      </c>
      <c r="C221">
        <v>21</v>
      </c>
      <c r="D221" t="s">
        <v>34</v>
      </c>
      <c r="E221" t="s">
        <v>25</v>
      </c>
      <c r="F221" t="s">
        <v>79</v>
      </c>
      <c r="G221" t="s">
        <v>27</v>
      </c>
      <c r="H221">
        <v>10679.97</v>
      </c>
      <c r="I221">
        <v>18</v>
      </c>
      <c r="J221" t="s">
        <v>19</v>
      </c>
      <c r="K221" t="s">
        <v>29</v>
      </c>
      <c r="L221" t="s">
        <v>51</v>
      </c>
      <c r="M221" t="s">
        <v>31</v>
      </c>
    </row>
    <row r="222" spans="1:13" x14ac:dyDescent="0.3">
      <c r="A222" t="s">
        <v>450</v>
      </c>
      <c r="B222" t="s">
        <v>91</v>
      </c>
      <c r="C222">
        <v>45</v>
      </c>
      <c r="D222" t="s">
        <v>15</v>
      </c>
      <c r="E222" t="s">
        <v>25</v>
      </c>
      <c r="F222" t="s">
        <v>84</v>
      </c>
      <c r="G222" t="s">
        <v>54</v>
      </c>
      <c r="H222">
        <v>31395.24</v>
      </c>
      <c r="I222">
        <v>7</v>
      </c>
      <c r="J222" t="s">
        <v>28</v>
      </c>
      <c r="K222" t="s">
        <v>29</v>
      </c>
      <c r="L222" t="s">
        <v>112</v>
      </c>
      <c r="M222" t="s">
        <v>31</v>
      </c>
    </row>
    <row r="223" spans="1:13" x14ac:dyDescent="0.3">
      <c r="A223" t="s">
        <v>451</v>
      </c>
      <c r="B223" t="s">
        <v>452</v>
      </c>
      <c r="C223">
        <v>81</v>
      </c>
      <c r="D223" t="s">
        <v>34</v>
      </c>
      <c r="E223" t="s">
        <v>117</v>
      </c>
      <c r="F223" t="s">
        <v>26</v>
      </c>
      <c r="G223" t="s">
        <v>80</v>
      </c>
      <c r="H223">
        <v>6508.39</v>
      </c>
      <c r="I223">
        <v>2</v>
      </c>
      <c r="J223" t="s">
        <v>28</v>
      </c>
      <c r="K223" t="s">
        <v>74</v>
      </c>
      <c r="L223" t="s">
        <v>21</v>
      </c>
      <c r="M223" t="s">
        <v>58</v>
      </c>
    </row>
    <row r="224" spans="1:13" x14ac:dyDescent="0.3">
      <c r="A224" t="s">
        <v>453</v>
      </c>
      <c r="B224" t="s">
        <v>335</v>
      </c>
      <c r="C224">
        <v>23</v>
      </c>
      <c r="D224" t="s">
        <v>34</v>
      </c>
      <c r="E224" t="s">
        <v>83</v>
      </c>
      <c r="F224" t="s">
        <v>26</v>
      </c>
      <c r="G224" t="s">
        <v>80</v>
      </c>
      <c r="H224">
        <v>29207.95</v>
      </c>
      <c r="I224">
        <v>7</v>
      </c>
      <c r="J224" t="s">
        <v>19</v>
      </c>
      <c r="K224" t="s">
        <v>55</v>
      </c>
      <c r="L224" t="s">
        <v>51</v>
      </c>
      <c r="M224" t="s">
        <v>31</v>
      </c>
    </row>
    <row r="225" spans="1:13" x14ac:dyDescent="0.3">
      <c r="A225" t="s">
        <v>454</v>
      </c>
      <c r="B225" t="s">
        <v>455</v>
      </c>
      <c r="C225">
        <v>29</v>
      </c>
      <c r="D225" t="s">
        <v>34</v>
      </c>
      <c r="E225" t="s">
        <v>83</v>
      </c>
      <c r="F225" t="s">
        <v>89</v>
      </c>
      <c r="G225" t="s">
        <v>80</v>
      </c>
      <c r="H225">
        <v>5301.5</v>
      </c>
      <c r="I225">
        <v>11</v>
      </c>
      <c r="J225" t="s">
        <v>28</v>
      </c>
      <c r="K225" t="s">
        <v>44</v>
      </c>
      <c r="L225" t="s">
        <v>112</v>
      </c>
      <c r="M225" t="s">
        <v>22</v>
      </c>
    </row>
    <row r="226" spans="1:13" x14ac:dyDescent="0.3">
      <c r="A226" t="s">
        <v>456</v>
      </c>
      <c r="B226" t="s">
        <v>457</v>
      </c>
      <c r="C226">
        <v>30</v>
      </c>
      <c r="D226" t="s">
        <v>34</v>
      </c>
      <c r="E226" t="s">
        <v>35</v>
      </c>
      <c r="F226" t="s">
        <v>84</v>
      </c>
      <c r="G226" t="s">
        <v>54</v>
      </c>
      <c r="H226">
        <v>144204.76999999999</v>
      </c>
      <c r="I226">
        <v>7</v>
      </c>
      <c r="J226" t="s">
        <v>28</v>
      </c>
      <c r="K226" t="s">
        <v>50</v>
      </c>
      <c r="L226" t="s">
        <v>45</v>
      </c>
      <c r="M226" t="s">
        <v>31</v>
      </c>
    </row>
    <row r="227" spans="1:13" x14ac:dyDescent="0.3">
      <c r="A227" t="s">
        <v>458</v>
      </c>
      <c r="B227" t="s">
        <v>459</v>
      </c>
      <c r="C227">
        <v>44</v>
      </c>
      <c r="D227" t="s">
        <v>15</v>
      </c>
      <c r="E227" t="s">
        <v>35</v>
      </c>
      <c r="F227" t="s">
        <v>61</v>
      </c>
      <c r="G227" t="s">
        <v>18</v>
      </c>
      <c r="H227">
        <v>96912.28</v>
      </c>
      <c r="I227">
        <v>10</v>
      </c>
      <c r="J227" t="s">
        <v>19</v>
      </c>
      <c r="K227" t="s">
        <v>74</v>
      </c>
      <c r="L227" t="s">
        <v>40</v>
      </c>
      <c r="M227" t="s">
        <v>58</v>
      </c>
    </row>
    <row r="228" spans="1:13" x14ac:dyDescent="0.3">
      <c r="A228" t="s">
        <v>460</v>
      </c>
      <c r="B228" t="s">
        <v>432</v>
      </c>
      <c r="C228">
        <v>70</v>
      </c>
      <c r="D228" t="s">
        <v>34</v>
      </c>
      <c r="E228" t="s">
        <v>64</v>
      </c>
      <c r="F228" t="s">
        <v>84</v>
      </c>
      <c r="G228" t="s">
        <v>36</v>
      </c>
      <c r="H228">
        <v>95870.23</v>
      </c>
      <c r="I228">
        <v>10</v>
      </c>
      <c r="J228" t="s">
        <v>19</v>
      </c>
      <c r="K228" t="s">
        <v>69</v>
      </c>
      <c r="L228" t="s">
        <v>112</v>
      </c>
      <c r="M228" t="s">
        <v>22</v>
      </c>
    </row>
    <row r="229" spans="1:13" x14ac:dyDescent="0.3">
      <c r="A229" t="s">
        <v>461</v>
      </c>
      <c r="B229" t="s">
        <v>462</v>
      </c>
      <c r="C229">
        <v>27</v>
      </c>
      <c r="D229" t="s">
        <v>34</v>
      </c>
      <c r="E229" t="s">
        <v>117</v>
      </c>
      <c r="F229" t="s">
        <v>61</v>
      </c>
      <c r="G229" t="s">
        <v>18</v>
      </c>
      <c r="H229">
        <v>8646.92</v>
      </c>
      <c r="I229">
        <v>20</v>
      </c>
      <c r="J229" t="s">
        <v>28</v>
      </c>
      <c r="K229" t="s">
        <v>39</v>
      </c>
      <c r="L229" t="s">
        <v>40</v>
      </c>
      <c r="M229" t="s">
        <v>31</v>
      </c>
    </row>
    <row r="230" spans="1:13" x14ac:dyDescent="0.3">
      <c r="A230" t="s">
        <v>463</v>
      </c>
      <c r="B230" t="s">
        <v>66</v>
      </c>
      <c r="C230">
        <v>90</v>
      </c>
      <c r="D230" t="s">
        <v>34</v>
      </c>
      <c r="E230" t="s">
        <v>83</v>
      </c>
      <c r="F230" t="s">
        <v>17</v>
      </c>
      <c r="G230" t="s">
        <v>27</v>
      </c>
      <c r="H230">
        <v>106746.49</v>
      </c>
      <c r="I230">
        <v>14</v>
      </c>
      <c r="J230" t="s">
        <v>28</v>
      </c>
      <c r="K230" t="s">
        <v>74</v>
      </c>
      <c r="L230" t="s">
        <v>51</v>
      </c>
      <c r="M230" t="s">
        <v>58</v>
      </c>
    </row>
    <row r="231" spans="1:13" x14ac:dyDescent="0.3">
      <c r="A231" t="s">
        <v>464</v>
      </c>
      <c r="B231" t="s">
        <v>465</v>
      </c>
      <c r="C231">
        <v>11</v>
      </c>
      <c r="D231" t="s">
        <v>34</v>
      </c>
      <c r="E231" t="s">
        <v>83</v>
      </c>
      <c r="F231" t="s">
        <v>26</v>
      </c>
      <c r="G231" t="s">
        <v>18</v>
      </c>
      <c r="H231">
        <v>20806.919999999998</v>
      </c>
      <c r="I231">
        <v>13</v>
      </c>
      <c r="J231" t="s">
        <v>19</v>
      </c>
      <c r="K231" t="s">
        <v>20</v>
      </c>
      <c r="L231" t="s">
        <v>40</v>
      </c>
      <c r="M231" t="s">
        <v>58</v>
      </c>
    </row>
    <row r="232" spans="1:13" x14ac:dyDescent="0.3">
      <c r="A232" t="s">
        <v>466</v>
      </c>
      <c r="B232" t="s">
        <v>186</v>
      </c>
      <c r="C232">
        <v>29</v>
      </c>
      <c r="D232" t="s">
        <v>15</v>
      </c>
      <c r="E232" t="s">
        <v>83</v>
      </c>
      <c r="F232" t="s">
        <v>84</v>
      </c>
      <c r="G232" t="s">
        <v>80</v>
      </c>
      <c r="H232">
        <v>19458.36</v>
      </c>
      <c r="I232">
        <v>11</v>
      </c>
      <c r="J232" t="s">
        <v>28</v>
      </c>
      <c r="K232" t="s">
        <v>20</v>
      </c>
      <c r="L232" t="s">
        <v>51</v>
      </c>
      <c r="M232" t="s">
        <v>31</v>
      </c>
    </row>
    <row r="233" spans="1:13" x14ac:dyDescent="0.3">
      <c r="A233" t="s">
        <v>467</v>
      </c>
      <c r="B233" t="s">
        <v>468</v>
      </c>
      <c r="C233">
        <v>80</v>
      </c>
      <c r="D233" t="s">
        <v>15</v>
      </c>
      <c r="E233" t="s">
        <v>16</v>
      </c>
      <c r="F233" t="s">
        <v>61</v>
      </c>
      <c r="G233" t="s">
        <v>18</v>
      </c>
      <c r="H233">
        <v>49013.14</v>
      </c>
      <c r="I233">
        <v>1</v>
      </c>
      <c r="J233" t="s">
        <v>19</v>
      </c>
      <c r="K233" t="s">
        <v>55</v>
      </c>
      <c r="L233" t="s">
        <v>112</v>
      </c>
      <c r="M233" t="s">
        <v>22</v>
      </c>
    </row>
    <row r="234" spans="1:13" x14ac:dyDescent="0.3">
      <c r="A234" t="s">
        <v>469</v>
      </c>
      <c r="B234" t="s">
        <v>470</v>
      </c>
      <c r="C234">
        <v>43</v>
      </c>
      <c r="D234" t="s">
        <v>34</v>
      </c>
      <c r="E234" t="s">
        <v>64</v>
      </c>
      <c r="F234" t="s">
        <v>89</v>
      </c>
      <c r="G234" t="s">
        <v>27</v>
      </c>
      <c r="H234">
        <v>75995.05</v>
      </c>
      <c r="I234">
        <v>8</v>
      </c>
      <c r="J234" t="s">
        <v>19</v>
      </c>
      <c r="K234" t="s">
        <v>50</v>
      </c>
      <c r="L234" t="s">
        <v>21</v>
      </c>
      <c r="M234" t="s">
        <v>58</v>
      </c>
    </row>
    <row r="235" spans="1:13" x14ac:dyDescent="0.3">
      <c r="A235" t="s">
        <v>471</v>
      </c>
      <c r="B235" t="s">
        <v>103</v>
      </c>
      <c r="C235">
        <v>27</v>
      </c>
      <c r="D235" t="s">
        <v>15</v>
      </c>
      <c r="E235" t="s">
        <v>35</v>
      </c>
      <c r="F235" t="s">
        <v>17</v>
      </c>
      <c r="G235" t="s">
        <v>80</v>
      </c>
      <c r="H235">
        <v>73979.91</v>
      </c>
      <c r="I235">
        <v>17</v>
      </c>
      <c r="J235" t="s">
        <v>19</v>
      </c>
      <c r="K235" t="s">
        <v>20</v>
      </c>
      <c r="L235" t="s">
        <v>40</v>
      </c>
      <c r="M235" t="s">
        <v>31</v>
      </c>
    </row>
    <row r="236" spans="1:13" x14ac:dyDescent="0.3">
      <c r="A236" t="s">
        <v>472</v>
      </c>
      <c r="B236" t="s">
        <v>473</v>
      </c>
      <c r="C236">
        <v>71</v>
      </c>
      <c r="D236" t="s">
        <v>15</v>
      </c>
      <c r="E236" t="s">
        <v>16</v>
      </c>
      <c r="F236" t="s">
        <v>17</v>
      </c>
      <c r="G236" t="s">
        <v>43</v>
      </c>
      <c r="H236">
        <v>142072.17000000001</v>
      </c>
      <c r="I236">
        <v>17</v>
      </c>
      <c r="J236" t="s">
        <v>19</v>
      </c>
      <c r="K236" t="s">
        <v>69</v>
      </c>
      <c r="L236" t="s">
        <v>21</v>
      </c>
      <c r="M236" t="s">
        <v>31</v>
      </c>
    </row>
    <row r="237" spans="1:13" x14ac:dyDescent="0.3">
      <c r="A237" t="s">
        <v>474</v>
      </c>
      <c r="B237" t="s">
        <v>475</v>
      </c>
      <c r="C237">
        <v>18</v>
      </c>
      <c r="D237" t="s">
        <v>15</v>
      </c>
      <c r="E237" t="s">
        <v>16</v>
      </c>
      <c r="F237" t="s">
        <v>26</v>
      </c>
      <c r="G237" t="s">
        <v>36</v>
      </c>
      <c r="H237">
        <v>51992.42</v>
      </c>
      <c r="I237">
        <v>17</v>
      </c>
      <c r="J237" t="s">
        <v>28</v>
      </c>
      <c r="K237" t="s">
        <v>69</v>
      </c>
      <c r="L237" t="s">
        <v>21</v>
      </c>
      <c r="M237" t="s">
        <v>58</v>
      </c>
    </row>
    <row r="238" spans="1:13" x14ac:dyDescent="0.3">
      <c r="A238" t="s">
        <v>476</v>
      </c>
      <c r="B238" t="s">
        <v>477</v>
      </c>
      <c r="C238">
        <v>38</v>
      </c>
      <c r="D238" t="s">
        <v>15</v>
      </c>
      <c r="E238" t="s">
        <v>117</v>
      </c>
      <c r="F238" t="s">
        <v>26</v>
      </c>
      <c r="G238" t="s">
        <v>27</v>
      </c>
      <c r="H238">
        <v>1438.69</v>
      </c>
      <c r="I238">
        <v>8</v>
      </c>
      <c r="J238" t="s">
        <v>19</v>
      </c>
      <c r="K238" t="s">
        <v>50</v>
      </c>
      <c r="L238" t="s">
        <v>45</v>
      </c>
      <c r="M238" t="s">
        <v>58</v>
      </c>
    </row>
    <row r="239" spans="1:13" x14ac:dyDescent="0.3">
      <c r="A239" t="s">
        <v>478</v>
      </c>
      <c r="B239" t="s">
        <v>479</v>
      </c>
      <c r="C239">
        <v>38</v>
      </c>
      <c r="D239" t="s">
        <v>34</v>
      </c>
      <c r="E239" t="s">
        <v>83</v>
      </c>
      <c r="F239" t="s">
        <v>84</v>
      </c>
      <c r="G239" t="s">
        <v>18</v>
      </c>
      <c r="H239">
        <v>14346.54</v>
      </c>
      <c r="I239">
        <v>7</v>
      </c>
      <c r="J239" t="s">
        <v>28</v>
      </c>
      <c r="K239" t="s">
        <v>20</v>
      </c>
      <c r="L239" t="s">
        <v>40</v>
      </c>
      <c r="M239" t="s">
        <v>58</v>
      </c>
    </row>
    <row r="240" spans="1:13" x14ac:dyDescent="0.3">
      <c r="A240" t="s">
        <v>480</v>
      </c>
      <c r="B240" t="s">
        <v>481</v>
      </c>
      <c r="C240">
        <v>34</v>
      </c>
      <c r="D240" t="s">
        <v>34</v>
      </c>
      <c r="E240" t="s">
        <v>25</v>
      </c>
      <c r="F240" t="s">
        <v>61</v>
      </c>
      <c r="G240" t="s">
        <v>18</v>
      </c>
      <c r="H240">
        <v>21721.79</v>
      </c>
      <c r="I240">
        <v>14</v>
      </c>
      <c r="J240" t="s">
        <v>19</v>
      </c>
      <c r="K240" t="s">
        <v>44</v>
      </c>
      <c r="L240" t="s">
        <v>51</v>
      </c>
      <c r="M240" t="s">
        <v>31</v>
      </c>
    </row>
    <row r="241" spans="1:13" x14ac:dyDescent="0.3">
      <c r="A241" t="s">
        <v>482</v>
      </c>
      <c r="B241" t="s">
        <v>483</v>
      </c>
      <c r="C241">
        <v>21</v>
      </c>
      <c r="D241" t="s">
        <v>15</v>
      </c>
      <c r="E241" t="s">
        <v>64</v>
      </c>
      <c r="F241" t="s">
        <v>17</v>
      </c>
      <c r="G241" t="s">
        <v>43</v>
      </c>
      <c r="H241">
        <v>94785.38</v>
      </c>
      <c r="I241">
        <v>1</v>
      </c>
      <c r="J241" t="s">
        <v>19</v>
      </c>
      <c r="K241" t="s">
        <v>50</v>
      </c>
      <c r="L241" t="s">
        <v>21</v>
      </c>
      <c r="M241" t="s">
        <v>22</v>
      </c>
    </row>
    <row r="242" spans="1:13" x14ac:dyDescent="0.3">
      <c r="A242" t="s">
        <v>484</v>
      </c>
      <c r="B242" t="s">
        <v>485</v>
      </c>
      <c r="C242">
        <v>85</v>
      </c>
      <c r="D242" t="s">
        <v>15</v>
      </c>
      <c r="E242" t="s">
        <v>35</v>
      </c>
      <c r="F242" t="s">
        <v>17</v>
      </c>
      <c r="G242" t="s">
        <v>54</v>
      </c>
      <c r="H242">
        <v>90325.07</v>
      </c>
      <c r="I242">
        <v>15</v>
      </c>
      <c r="J242" t="s">
        <v>19</v>
      </c>
      <c r="K242" t="s">
        <v>20</v>
      </c>
      <c r="L242" t="s">
        <v>30</v>
      </c>
      <c r="M242" t="s">
        <v>58</v>
      </c>
    </row>
    <row r="243" spans="1:13" x14ac:dyDescent="0.3">
      <c r="A243" t="s">
        <v>486</v>
      </c>
      <c r="B243" t="s">
        <v>487</v>
      </c>
      <c r="C243">
        <v>62</v>
      </c>
      <c r="D243" t="s">
        <v>34</v>
      </c>
      <c r="E243" t="s">
        <v>83</v>
      </c>
      <c r="F243" t="s">
        <v>61</v>
      </c>
      <c r="G243" t="s">
        <v>80</v>
      </c>
      <c r="H243">
        <v>65507.31</v>
      </c>
      <c r="I243">
        <v>1</v>
      </c>
      <c r="J243" t="s">
        <v>19</v>
      </c>
      <c r="K243" t="s">
        <v>50</v>
      </c>
      <c r="L243" t="s">
        <v>45</v>
      </c>
      <c r="M243" t="s">
        <v>22</v>
      </c>
    </row>
    <row r="244" spans="1:13" x14ac:dyDescent="0.3">
      <c r="A244" t="s">
        <v>488</v>
      </c>
      <c r="B244" t="s">
        <v>489</v>
      </c>
      <c r="C244">
        <v>28</v>
      </c>
      <c r="D244" t="s">
        <v>15</v>
      </c>
      <c r="E244" t="s">
        <v>83</v>
      </c>
      <c r="F244" t="s">
        <v>79</v>
      </c>
      <c r="G244" t="s">
        <v>54</v>
      </c>
      <c r="H244">
        <v>47589.440000000002</v>
      </c>
      <c r="I244">
        <v>14</v>
      </c>
      <c r="J244" t="s">
        <v>28</v>
      </c>
      <c r="K244" t="s">
        <v>74</v>
      </c>
      <c r="L244" t="s">
        <v>21</v>
      </c>
      <c r="M244" t="s">
        <v>31</v>
      </c>
    </row>
    <row r="245" spans="1:13" x14ac:dyDescent="0.3">
      <c r="A245" t="s">
        <v>490</v>
      </c>
      <c r="B245" t="s">
        <v>491</v>
      </c>
      <c r="C245">
        <v>12</v>
      </c>
      <c r="D245" t="s">
        <v>15</v>
      </c>
      <c r="E245" t="s">
        <v>117</v>
      </c>
      <c r="F245" t="s">
        <v>61</v>
      </c>
      <c r="G245" t="s">
        <v>43</v>
      </c>
      <c r="H245">
        <v>111929.93</v>
      </c>
      <c r="I245">
        <v>2</v>
      </c>
      <c r="J245" t="s">
        <v>19</v>
      </c>
      <c r="K245" t="s">
        <v>69</v>
      </c>
      <c r="L245" t="s">
        <v>40</v>
      </c>
      <c r="M245" t="s">
        <v>58</v>
      </c>
    </row>
    <row r="246" spans="1:13" x14ac:dyDescent="0.3">
      <c r="A246" t="s">
        <v>492</v>
      </c>
      <c r="B246" t="s">
        <v>493</v>
      </c>
      <c r="C246">
        <v>76</v>
      </c>
      <c r="D246" t="s">
        <v>15</v>
      </c>
      <c r="E246" t="s">
        <v>64</v>
      </c>
      <c r="F246" t="s">
        <v>84</v>
      </c>
      <c r="G246" t="s">
        <v>54</v>
      </c>
      <c r="H246">
        <v>71840.41</v>
      </c>
      <c r="I246">
        <v>17</v>
      </c>
      <c r="J246" t="s">
        <v>28</v>
      </c>
      <c r="K246" t="s">
        <v>29</v>
      </c>
      <c r="L246" t="s">
        <v>51</v>
      </c>
      <c r="M246" t="s">
        <v>31</v>
      </c>
    </row>
    <row r="247" spans="1:13" x14ac:dyDescent="0.3">
      <c r="A247" t="s">
        <v>494</v>
      </c>
      <c r="B247" t="s">
        <v>495</v>
      </c>
      <c r="C247">
        <v>55</v>
      </c>
      <c r="D247" t="s">
        <v>15</v>
      </c>
      <c r="E247" t="s">
        <v>83</v>
      </c>
      <c r="F247" t="s">
        <v>26</v>
      </c>
      <c r="G247" t="s">
        <v>54</v>
      </c>
      <c r="H247">
        <v>133782.71</v>
      </c>
      <c r="I247">
        <v>3</v>
      </c>
      <c r="J247" t="s">
        <v>19</v>
      </c>
      <c r="K247" t="s">
        <v>50</v>
      </c>
      <c r="L247" t="s">
        <v>112</v>
      </c>
      <c r="M247" t="s">
        <v>31</v>
      </c>
    </row>
    <row r="248" spans="1:13" x14ac:dyDescent="0.3">
      <c r="A248" t="s">
        <v>496</v>
      </c>
      <c r="B248" t="s">
        <v>455</v>
      </c>
      <c r="C248">
        <v>67</v>
      </c>
      <c r="D248" t="s">
        <v>34</v>
      </c>
      <c r="E248" t="s">
        <v>64</v>
      </c>
      <c r="F248" t="s">
        <v>17</v>
      </c>
      <c r="G248" t="s">
        <v>54</v>
      </c>
      <c r="H248">
        <v>126035.11</v>
      </c>
      <c r="I248">
        <v>14</v>
      </c>
      <c r="J248" t="s">
        <v>28</v>
      </c>
      <c r="K248" t="s">
        <v>55</v>
      </c>
      <c r="L248" t="s">
        <v>21</v>
      </c>
      <c r="M248" t="s">
        <v>31</v>
      </c>
    </row>
    <row r="249" spans="1:13" x14ac:dyDescent="0.3">
      <c r="A249" t="s">
        <v>497</v>
      </c>
      <c r="B249" t="s">
        <v>498</v>
      </c>
      <c r="C249">
        <v>49</v>
      </c>
      <c r="D249" t="s">
        <v>34</v>
      </c>
      <c r="E249" t="s">
        <v>64</v>
      </c>
      <c r="F249" t="s">
        <v>79</v>
      </c>
      <c r="G249" t="s">
        <v>80</v>
      </c>
      <c r="H249">
        <v>81342.929999999993</v>
      </c>
      <c r="I249">
        <v>3</v>
      </c>
      <c r="J249" t="s">
        <v>19</v>
      </c>
      <c r="K249" t="s">
        <v>50</v>
      </c>
      <c r="L249" t="s">
        <v>112</v>
      </c>
      <c r="M249" t="s">
        <v>58</v>
      </c>
    </row>
    <row r="250" spans="1:13" x14ac:dyDescent="0.3">
      <c r="A250" t="s">
        <v>499</v>
      </c>
      <c r="B250" t="s">
        <v>71</v>
      </c>
      <c r="C250">
        <v>77</v>
      </c>
      <c r="D250" t="s">
        <v>15</v>
      </c>
      <c r="E250" t="s">
        <v>16</v>
      </c>
      <c r="F250" t="s">
        <v>26</v>
      </c>
      <c r="G250" t="s">
        <v>43</v>
      </c>
      <c r="H250">
        <v>104085.21</v>
      </c>
      <c r="I250">
        <v>19</v>
      </c>
      <c r="J250" t="s">
        <v>28</v>
      </c>
      <c r="K250" t="s">
        <v>39</v>
      </c>
      <c r="L250" t="s">
        <v>30</v>
      </c>
      <c r="M250" t="s">
        <v>58</v>
      </c>
    </row>
    <row r="251" spans="1:13" x14ac:dyDescent="0.3">
      <c r="A251" t="s">
        <v>500</v>
      </c>
      <c r="B251" t="s">
        <v>318</v>
      </c>
      <c r="C251">
        <v>17</v>
      </c>
      <c r="D251" t="s">
        <v>15</v>
      </c>
      <c r="E251" t="s">
        <v>117</v>
      </c>
      <c r="F251" t="s">
        <v>84</v>
      </c>
      <c r="G251" t="s">
        <v>18</v>
      </c>
      <c r="H251">
        <v>24846.16</v>
      </c>
      <c r="I251">
        <v>14</v>
      </c>
      <c r="J251" t="s">
        <v>28</v>
      </c>
      <c r="K251" t="s">
        <v>29</v>
      </c>
      <c r="L251" t="s">
        <v>21</v>
      </c>
      <c r="M251" t="s">
        <v>58</v>
      </c>
    </row>
    <row r="252" spans="1:13" x14ac:dyDescent="0.3">
      <c r="A252" t="s">
        <v>501</v>
      </c>
      <c r="B252" t="s">
        <v>465</v>
      </c>
      <c r="C252">
        <v>20</v>
      </c>
      <c r="D252" t="s">
        <v>15</v>
      </c>
      <c r="E252" t="s">
        <v>35</v>
      </c>
      <c r="F252" t="s">
        <v>26</v>
      </c>
      <c r="G252" t="s">
        <v>43</v>
      </c>
      <c r="H252">
        <v>26901.27</v>
      </c>
      <c r="I252">
        <v>4</v>
      </c>
      <c r="J252" t="s">
        <v>19</v>
      </c>
      <c r="K252" t="s">
        <v>39</v>
      </c>
      <c r="L252" t="s">
        <v>30</v>
      </c>
      <c r="M252" t="s">
        <v>22</v>
      </c>
    </row>
    <row r="253" spans="1:13" x14ac:dyDescent="0.3">
      <c r="A253" t="s">
        <v>502</v>
      </c>
      <c r="B253" t="s">
        <v>503</v>
      </c>
      <c r="C253">
        <v>66</v>
      </c>
      <c r="D253" t="s">
        <v>34</v>
      </c>
      <c r="E253" t="s">
        <v>64</v>
      </c>
      <c r="F253" t="s">
        <v>61</v>
      </c>
      <c r="G253" t="s">
        <v>18</v>
      </c>
      <c r="H253">
        <v>98487.01</v>
      </c>
      <c r="I253">
        <v>3</v>
      </c>
      <c r="J253" t="s">
        <v>28</v>
      </c>
      <c r="K253" t="s">
        <v>74</v>
      </c>
      <c r="L253" t="s">
        <v>51</v>
      </c>
      <c r="M253" t="s">
        <v>22</v>
      </c>
    </row>
    <row r="254" spans="1:13" x14ac:dyDescent="0.3">
      <c r="A254" t="s">
        <v>504</v>
      </c>
      <c r="B254" t="s">
        <v>99</v>
      </c>
      <c r="C254">
        <v>76</v>
      </c>
      <c r="D254" t="s">
        <v>15</v>
      </c>
      <c r="E254" t="s">
        <v>16</v>
      </c>
      <c r="F254" t="s">
        <v>17</v>
      </c>
      <c r="G254" t="s">
        <v>27</v>
      </c>
      <c r="H254">
        <v>113474</v>
      </c>
      <c r="I254">
        <v>9</v>
      </c>
      <c r="J254" t="s">
        <v>19</v>
      </c>
      <c r="K254" t="s">
        <v>20</v>
      </c>
      <c r="L254" t="s">
        <v>45</v>
      </c>
      <c r="M254" t="s">
        <v>31</v>
      </c>
    </row>
    <row r="255" spans="1:13" x14ac:dyDescent="0.3">
      <c r="A255" t="s">
        <v>505</v>
      </c>
      <c r="B255" t="s">
        <v>506</v>
      </c>
      <c r="C255">
        <v>33</v>
      </c>
      <c r="D255" t="s">
        <v>34</v>
      </c>
      <c r="E255" t="s">
        <v>16</v>
      </c>
      <c r="F255" t="s">
        <v>61</v>
      </c>
      <c r="G255" t="s">
        <v>43</v>
      </c>
      <c r="H255">
        <v>91833.38</v>
      </c>
      <c r="I255">
        <v>6</v>
      </c>
      <c r="J255" t="s">
        <v>28</v>
      </c>
      <c r="K255" t="s">
        <v>29</v>
      </c>
      <c r="L255" t="s">
        <v>21</v>
      </c>
      <c r="M255" t="s">
        <v>58</v>
      </c>
    </row>
    <row r="256" spans="1:13" x14ac:dyDescent="0.3">
      <c r="A256" t="s">
        <v>507</v>
      </c>
      <c r="B256" t="s">
        <v>481</v>
      </c>
      <c r="C256">
        <v>84</v>
      </c>
      <c r="D256" t="s">
        <v>34</v>
      </c>
      <c r="E256" t="s">
        <v>83</v>
      </c>
      <c r="F256" t="s">
        <v>89</v>
      </c>
      <c r="G256" t="s">
        <v>43</v>
      </c>
      <c r="H256">
        <v>24092.03</v>
      </c>
      <c r="I256">
        <v>20</v>
      </c>
      <c r="J256" t="s">
        <v>19</v>
      </c>
      <c r="K256" t="s">
        <v>50</v>
      </c>
      <c r="L256" t="s">
        <v>21</v>
      </c>
      <c r="M256" t="s">
        <v>58</v>
      </c>
    </row>
    <row r="257" spans="1:13" x14ac:dyDescent="0.3">
      <c r="A257" t="s">
        <v>508</v>
      </c>
      <c r="B257" t="s">
        <v>509</v>
      </c>
      <c r="C257">
        <v>20</v>
      </c>
      <c r="D257" t="s">
        <v>15</v>
      </c>
      <c r="E257" t="s">
        <v>35</v>
      </c>
      <c r="F257" t="s">
        <v>84</v>
      </c>
      <c r="G257" t="s">
        <v>54</v>
      </c>
      <c r="H257">
        <v>29516.32</v>
      </c>
      <c r="I257">
        <v>2</v>
      </c>
      <c r="J257" t="s">
        <v>28</v>
      </c>
      <c r="K257" t="s">
        <v>44</v>
      </c>
      <c r="L257" t="s">
        <v>30</v>
      </c>
      <c r="M257" t="s">
        <v>22</v>
      </c>
    </row>
    <row r="258" spans="1:13" x14ac:dyDescent="0.3">
      <c r="A258" t="s">
        <v>510</v>
      </c>
      <c r="B258" t="s">
        <v>184</v>
      </c>
      <c r="C258">
        <v>86</v>
      </c>
      <c r="D258" t="s">
        <v>34</v>
      </c>
      <c r="E258" t="s">
        <v>35</v>
      </c>
      <c r="F258" t="s">
        <v>89</v>
      </c>
      <c r="G258" t="s">
        <v>54</v>
      </c>
      <c r="H258">
        <v>18926.89</v>
      </c>
      <c r="I258">
        <v>14</v>
      </c>
      <c r="J258" t="s">
        <v>28</v>
      </c>
      <c r="K258" t="s">
        <v>39</v>
      </c>
      <c r="L258" t="s">
        <v>30</v>
      </c>
      <c r="M258" t="s">
        <v>58</v>
      </c>
    </row>
    <row r="259" spans="1:13" x14ac:dyDescent="0.3">
      <c r="A259" t="s">
        <v>511</v>
      </c>
      <c r="B259" t="s">
        <v>109</v>
      </c>
      <c r="C259">
        <v>57</v>
      </c>
      <c r="D259" t="s">
        <v>15</v>
      </c>
      <c r="E259" t="s">
        <v>83</v>
      </c>
      <c r="F259" t="s">
        <v>89</v>
      </c>
      <c r="G259" t="s">
        <v>43</v>
      </c>
      <c r="H259">
        <v>80794.880000000005</v>
      </c>
      <c r="I259">
        <v>18</v>
      </c>
      <c r="J259" t="s">
        <v>28</v>
      </c>
      <c r="K259" t="s">
        <v>39</v>
      </c>
      <c r="L259" t="s">
        <v>21</v>
      </c>
      <c r="M259" t="s">
        <v>31</v>
      </c>
    </row>
    <row r="260" spans="1:13" x14ac:dyDescent="0.3">
      <c r="A260" t="s">
        <v>512</v>
      </c>
      <c r="B260" t="s">
        <v>513</v>
      </c>
      <c r="C260">
        <v>38</v>
      </c>
      <c r="D260" t="s">
        <v>15</v>
      </c>
      <c r="E260" t="s">
        <v>117</v>
      </c>
      <c r="F260" t="s">
        <v>26</v>
      </c>
      <c r="G260" t="s">
        <v>27</v>
      </c>
      <c r="H260">
        <v>122808.2</v>
      </c>
      <c r="I260">
        <v>19</v>
      </c>
      <c r="J260" t="s">
        <v>19</v>
      </c>
      <c r="K260" t="s">
        <v>29</v>
      </c>
      <c r="L260" t="s">
        <v>30</v>
      </c>
      <c r="M260" t="s">
        <v>58</v>
      </c>
    </row>
    <row r="261" spans="1:13" x14ac:dyDescent="0.3">
      <c r="A261" t="s">
        <v>514</v>
      </c>
      <c r="B261" t="s">
        <v>176</v>
      </c>
      <c r="C261">
        <v>25</v>
      </c>
      <c r="D261" t="s">
        <v>15</v>
      </c>
      <c r="E261" t="s">
        <v>25</v>
      </c>
      <c r="F261" t="s">
        <v>26</v>
      </c>
      <c r="G261" t="s">
        <v>18</v>
      </c>
      <c r="H261">
        <v>107298.72</v>
      </c>
      <c r="I261">
        <v>17</v>
      </c>
      <c r="J261" t="s">
        <v>28</v>
      </c>
      <c r="K261" t="s">
        <v>44</v>
      </c>
      <c r="L261" t="s">
        <v>45</v>
      </c>
      <c r="M261" t="s">
        <v>22</v>
      </c>
    </row>
    <row r="262" spans="1:13" x14ac:dyDescent="0.3">
      <c r="A262" t="s">
        <v>515</v>
      </c>
      <c r="B262" t="s">
        <v>516</v>
      </c>
      <c r="C262">
        <v>60</v>
      </c>
      <c r="D262" t="s">
        <v>34</v>
      </c>
      <c r="E262" t="s">
        <v>16</v>
      </c>
      <c r="F262" t="s">
        <v>79</v>
      </c>
      <c r="G262" t="s">
        <v>43</v>
      </c>
      <c r="H262">
        <v>67838.100000000006</v>
      </c>
      <c r="I262">
        <v>11</v>
      </c>
      <c r="J262" t="s">
        <v>19</v>
      </c>
      <c r="K262" t="s">
        <v>44</v>
      </c>
      <c r="L262" t="s">
        <v>30</v>
      </c>
      <c r="M262" t="s">
        <v>58</v>
      </c>
    </row>
    <row r="263" spans="1:13" x14ac:dyDescent="0.3">
      <c r="A263" t="s">
        <v>517</v>
      </c>
      <c r="B263" t="s">
        <v>299</v>
      </c>
      <c r="C263">
        <v>62</v>
      </c>
      <c r="D263" t="s">
        <v>15</v>
      </c>
      <c r="E263" t="s">
        <v>25</v>
      </c>
      <c r="F263" t="s">
        <v>17</v>
      </c>
      <c r="G263" t="s">
        <v>54</v>
      </c>
      <c r="H263">
        <v>94832.36</v>
      </c>
      <c r="I263">
        <v>11</v>
      </c>
      <c r="J263" t="s">
        <v>19</v>
      </c>
      <c r="K263" t="s">
        <v>39</v>
      </c>
      <c r="L263" t="s">
        <v>40</v>
      </c>
      <c r="M263" t="s">
        <v>31</v>
      </c>
    </row>
    <row r="264" spans="1:13" x14ac:dyDescent="0.3">
      <c r="A264" t="s">
        <v>518</v>
      </c>
      <c r="B264" t="s">
        <v>519</v>
      </c>
      <c r="C264">
        <v>29</v>
      </c>
      <c r="D264" t="s">
        <v>15</v>
      </c>
      <c r="E264" t="s">
        <v>35</v>
      </c>
      <c r="F264" t="s">
        <v>61</v>
      </c>
      <c r="G264" t="s">
        <v>80</v>
      </c>
      <c r="H264">
        <v>89518.34</v>
      </c>
      <c r="I264">
        <v>2</v>
      </c>
      <c r="J264" t="s">
        <v>19</v>
      </c>
      <c r="K264" t="s">
        <v>74</v>
      </c>
      <c r="L264" t="s">
        <v>112</v>
      </c>
      <c r="M264" t="s">
        <v>22</v>
      </c>
    </row>
    <row r="265" spans="1:13" x14ac:dyDescent="0.3">
      <c r="A265" t="s">
        <v>520</v>
      </c>
      <c r="B265" t="s">
        <v>303</v>
      </c>
      <c r="C265">
        <v>44</v>
      </c>
      <c r="D265" t="s">
        <v>15</v>
      </c>
      <c r="E265" t="s">
        <v>64</v>
      </c>
      <c r="F265" t="s">
        <v>84</v>
      </c>
      <c r="G265" t="s">
        <v>36</v>
      </c>
      <c r="H265">
        <v>5678.34</v>
      </c>
      <c r="I265">
        <v>9</v>
      </c>
      <c r="J265" t="s">
        <v>28</v>
      </c>
      <c r="K265" t="s">
        <v>55</v>
      </c>
      <c r="L265" t="s">
        <v>45</v>
      </c>
      <c r="M265" t="s">
        <v>31</v>
      </c>
    </row>
    <row r="266" spans="1:13" x14ac:dyDescent="0.3">
      <c r="A266" t="s">
        <v>521</v>
      </c>
      <c r="B266" t="s">
        <v>522</v>
      </c>
      <c r="C266">
        <v>44</v>
      </c>
      <c r="D266" t="s">
        <v>34</v>
      </c>
      <c r="E266" t="s">
        <v>117</v>
      </c>
      <c r="F266" t="s">
        <v>79</v>
      </c>
      <c r="G266" t="s">
        <v>43</v>
      </c>
      <c r="H266">
        <v>14214.92</v>
      </c>
      <c r="I266">
        <v>5</v>
      </c>
      <c r="J266" t="s">
        <v>28</v>
      </c>
      <c r="K266" t="s">
        <v>20</v>
      </c>
      <c r="L266" t="s">
        <v>51</v>
      </c>
      <c r="M266" t="s">
        <v>31</v>
      </c>
    </row>
    <row r="267" spans="1:13" x14ac:dyDescent="0.3">
      <c r="A267" t="s">
        <v>523</v>
      </c>
      <c r="B267" t="s">
        <v>289</v>
      </c>
      <c r="C267">
        <v>27</v>
      </c>
      <c r="D267" t="s">
        <v>34</v>
      </c>
      <c r="E267" t="s">
        <v>117</v>
      </c>
      <c r="F267" t="s">
        <v>89</v>
      </c>
      <c r="G267" t="s">
        <v>18</v>
      </c>
      <c r="H267">
        <v>15424.21</v>
      </c>
      <c r="I267">
        <v>2</v>
      </c>
      <c r="J267" t="s">
        <v>28</v>
      </c>
      <c r="K267" t="s">
        <v>20</v>
      </c>
      <c r="L267" t="s">
        <v>21</v>
      </c>
      <c r="M267" t="s">
        <v>58</v>
      </c>
    </row>
    <row r="268" spans="1:13" x14ac:dyDescent="0.3">
      <c r="A268" t="s">
        <v>524</v>
      </c>
      <c r="B268" t="s">
        <v>525</v>
      </c>
      <c r="C268">
        <v>53</v>
      </c>
      <c r="D268" t="s">
        <v>15</v>
      </c>
      <c r="E268" t="s">
        <v>83</v>
      </c>
      <c r="F268" t="s">
        <v>84</v>
      </c>
      <c r="G268" t="s">
        <v>27</v>
      </c>
      <c r="H268">
        <v>17581.419999999998</v>
      </c>
      <c r="I268">
        <v>2</v>
      </c>
      <c r="J268" t="s">
        <v>19</v>
      </c>
      <c r="K268" t="s">
        <v>39</v>
      </c>
      <c r="L268" t="s">
        <v>51</v>
      </c>
      <c r="M268" t="s">
        <v>58</v>
      </c>
    </row>
    <row r="269" spans="1:13" x14ac:dyDescent="0.3">
      <c r="A269" t="s">
        <v>526</v>
      </c>
      <c r="B269" t="s">
        <v>527</v>
      </c>
      <c r="C269">
        <v>42</v>
      </c>
      <c r="D269" t="s">
        <v>34</v>
      </c>
      <c r="E269" t="s">
        <v>16</v>
      </c>
      <c r="F269" t="s">
        <v>84</v>
      </c>
      <c r="G269" t="s">
        <v>18</v>
      </c>
      <c r="H269">
        <v>72639.11</v>
      </c>
      <c r="I269">
        <v>15</v>
      </c>
      <c r="J269" t="s">
        <v>28</v>
      </c>
      <c r="K269" t="s">
        <v>39</v>
      </c>
      <c r="L269" t="s">
        <v>40</v>
      </c>
      <c r="M269" t="s">
        <v>58</v>
      </c>
    </row>
    <row r="270" spans="1:13" x14ac:dyDescent="0.3">
      <c r="A270" t="s">
        <v>528</v>
      </c>
      <c r="B270" t="s">
        <v>190</v>
      </c>
      <c r="C270">
        <v>75</v>
      </c>
      <c r="D270" t="s">
        <v>15</v>
      </c>
      <c r="E270" t="s">
        <v>64</v>
      </c>
      <c r="F270" t="s">
        <v>79</v>
      </c>
      <c r="G270" t="s">
        <v>36</v>
      </c>
      <c r="H270">
        <v>36517.18</v>
      </c>
      <c r="I270">
        <v>20</v>
      </c>
      <c r="J270" t="s">
        <v>28</v>
      </c>
      <c r="K270" t="s">
        <v>44</v>
      </c>
      <c r="L270" t="s">
        <v>21</v>
      </c>
      <c r="M270" t="s">
        <v>22</v>
      </c>
    </row>
    <row r="271" spans="1:13" x14ac:dyDescent="0.3">
      <c r="A271" t="s">
        <v>529</v>
      </c>
      <c r="B271" t="s">
        <v>530</v>
      </c>
      <c r="C271">
        <v>29</v>
      </c>
      <c r="D271" t="s">
        <v>15</v>
      </c>
      <c r="E271" t="s">
        <v>35</v>
      </c>
      <c r="F271" t="s">
        <v>84</v>
      </c>
      <c r="G271" t="s">
        <v>43</v>
      </c>
      <c r="H271">
        <v>75419.5</v>
      </c>
      <c r="I271">
        <v>7</v>
      </c>
      <c r="J271" t="s">
        <v>28</v>
      </c>
      <c r="K271" t="s">
        <v>44</v>
      </c>
      <c r="L271" t="s">
        <v>51</v>
      </c>
      <c r="M271" t="s">
        <v>31</v>
      </c>
    </row>
    <row r="272" spans="1:13" x14ac:dyDescent="0.3">
      <c r="A272" t="s">
        <v>531</v>
      </c>
      <c r="B272" t="s">
        <v>532</v>
      </c>
      <c r="C272">
        <v>73</v>
      </c>
      <c r="D272" t="s">
        <v>15</v>
      </c>
      <c r="E272" t="s">
        <v>35</v>
      </c>
      <c r="F272" t="s">
        <v>79</v>
      </c>
      <c r="G272" t="s">
        <v>27</v>
      </c>
      <c r="H272">
        <v>24652.41</v>
      </c>
      <c r="I272">
        <v>13</v>
      </c>
      <c r="J272" t="s">
        <v>19</v>
      </c>
      <c r="K272" t="s">
        <v>69</v>
      </c>
      <c r="L272" t="s">
        <v>51</v>
      </c>
      <c r="M272" t="s">
        <v>22</v>
      </c>
    </row>
    <row r="273" spans="1:13" x14ac:dyDescent="0.3">
      <c r="A273" t="s">
        <v>533</v>
      </c>
      <c r="B273" t="s">
        <v>534</v>
      </c>
      <c r="C273">
        <v>19</v>
      </c>
      <c r="D273" t="s">
        <v>15</v>
      </c>
      <c r="E273" t="s">
        <v>25</v>
      </c>
      <c r="F273" t="s">
        <v>79</v>
      </c>
      <c r="G273" t="s">
        <v>54</v>
      </c>
      <c r="H273">
        <v>127119.82</v>
      </c>
      <c r="I273">
        <v>15</v>
      </c>
      <c r="J273" t="s">
        <v>19</v>
      </c>
      <c r="K273" t="s">
        <v>20</v>
      </c>
      <c r="L273" t="s">
        <v>21</v>
      </c>
      <c r="M273" t="s">
        <v>22</v>
      </c>
    </row>
    <row r="274" spans="1:13" x14ac:dyDescent="0.3">
      <c r="A274" t="s">
        <v>535</v>
      </c>
      <c r="B274" t="s">
        <v>536</v>
      </c>
      <c r="C274">
        <v>40</v>
      </c>
      <c r="D274" t="s">
        <v>15</v>
      </c>
      <c r="E274" t="s">
        <v>64</v>
      </c>
      <c r="F274" t="s">
        <v>84</v>
      </c>
      <c r="G274" t="s">
        <v>43</v>
      </c>
      <c r="H274">
        <v>141865.32</v>
      </c>
      <c r="I274">
        <v>17</v>
      </c>
      <c r="J274" t="s">
        <v>28</v>
      </c>
      <c r="K274" t="s">
        <v>29</v>
      </c>
      <c r="L274" t="s">
        <v>51</v>
      </c>
      <c r="M274" t="s">
        <v>22</v>
      </c>
    </row>
    <row r="275" spans="1:13" x14ac:dyDescent="0.3">
      <c r="A275" t="s">
        <v>537</v>
      </c>
      <c r="B275" t="s">
        <v>538</v>
      </c>
      <c r="C275">
        <v>20</v>
      </c>
      <c r="D275" t="s">
        <v>34</v>
      </c>
      <c r="E275" t="s">
        <v>64</v>
      </c>
      <c r="F275" t="s">
        <v>84</v>
      </c>
      <c r="G275" t="s">
        <v>36</v>
      </c>
      <c r="H275">
        <v>86789.82</v>
      </c>
      <c r="I275">
        <v>8</v>
      </c>
      <c r="J275" t="s">
        <v>28</v>
      </c>
      <c r="K275" t="s">
        <v>69</v>
      </c>
      <c r="L275" t="s">
        <v>112</v>
      </c>
      <c r="M275" t="s">
        <v>58</v>
      </c>
    </row>
    <row r="276" spans="1:13" x14ac:dyDescent="0.3">
      <c r="A276" t="s">
        <v>539</v>
      </c>
      <c r="B276" t="s">
        <v>540</v>
      </c>
      <c r="C276">
        <v>38</v>
      </c>
      <c r="D276" t="s">
        <v>34</v>
      </c>
      <c r="E276" t="s">
        <v>83</v>
      </c>
      <c r="F276" t="s">
        <v>89</v>
      </c>
      <c r="G276" t="s">
        <v>54</v>
      </c>
      <c r="H276">
        <v>123141.29</v>
      </c>
      <c r="I276">
        <v>10</v>
      </c>
      <c r="J276" t="s">
        <v>28</v>
      </c>
      <c r="K276" t="s">
        <v>55</v>
      </c>
      <c r="L276" t="s">
        <v>40</v>
      </c>
      <c r="M276" t="s">
        <v>31</v>
      </c>
    </row>
    <row r="277" spans="1:13" x14ac:dyDescent="0.3">
      <c r="A277" t="s">
        <v>541</v>
      </c>
      <c r="B277" t="s">
        <v>38</v>
      </c>
      <c r="C277">
        <v>7</v>
      </c>
      <c r="D277" t="s">
        <v>15</v>
      </c>
      <c r="E277" t="s">
        <v>83</v>
      </c>
      <c r="F277" t="s">
        <v>79</v>
      </c>
      <c r="G277" t="s">
        <v>54</v>
      </c>
      <c r="H277">
        <v>62611.17</v>
      </c>
      <c r="I277">
        <v>3</v>
      </c>
      <c r="J277" t="s">
        <v>28</v>
      </c>
      <c r="K277" t="s">
        <v>74</v>
      </c>
      <c r="L277" t="s">
        <v>112</v>
      </c>
      <c r="M277" t="s">
        <v>58</v>
      </c>
    </row>
    <row r="278" spans="1:13" x14ac:dyDescent="0.3">
      <c r="A278" t="s">
        <v>542</v>
      </c>
      <c r="B278" t="s">
        <v>291</v>
      </c>
      <c r="C278">
        <v>51</v>
      </c>
      <c r="D278" t="s">
        <v>34</v>
      </c>
      <c r="E278" t="s">
        <v>16</v>
      </c>
      <c r="F278" t="s">
        <v>79</v>
      </c>
      <c r="G278" t="s">
        <v>36</v>
      </c>
      <c r="H278">
        <v>2458.14</v>
      </c>
      <c r="I278">
        <v>2</v>
      </c>
      <c r="J278" t="s">
        <v>19</v>
      </c>
      <c r="K278" t="s">
        <v>20</v>
      </c>
      <c r="L278" t="s">
        <v>21</v>
      </c>
      <c r="M278" t="s">
        <v>31</v>
      </c>
    </row>
    <row r="279" spans="1:13" x14ac:dyDescent="0.3">
      <c r="A279" t="s">
        <v>543</v>
      </c>
      <c r="B279" t="s">
        <v>544</v>
      </c>
      <c r="C279">
        <v>25</v>
      </c>
      <c r="D279" t="s">
        <v>15</v>
      </c>
      <c r="E279" t="s">
        <v>64</v>
      </c>
      <c r="F279" t="s">
        <v>26</v>
      </c>
      <c r="G279" t="s">
        <v>36</v>
      </c>
      <c r="H279">
        <v>83301.429999999993</v>
      </c>
      <c r="I279">
        <v>18</v>
      </c>
      <c r="J279" t="s">
        <v>19</v>
      </c>
      <c r="K279" t="s">
        <v>55</v>
      </c>
      <c r="L279" t="s">
        <v>40</v>
      </c>
      <c r="M279" t="s">
        <v>22</v>
      </c>
    </row>
    <row r="280" spans="1:13" x14ac:dyDescent="0.3">
      <c r="A280" t="s">
        <v>545</v>
      </c>
      <c r="B280" t="s">
        <v>546</v>
      </c>
      <c r="C280">
        <v>24</v>
      </c>
      <c r="D280" t="s">
        <v>15</v>
      </c>
      <c r="E280" t="s">
        <v>117</v>
      </c>
      <c r="F280" t="s">
        <v>84</v>
      </c>
      <c r="G280" t="s">
        <v>80</v>
      </c>
      <c r="H280">
        <v>3055.19</v>
      </c>
      <c r="I280">
        <v>16</v>
      </c>
      <c r="J280" t="s">
        <v>19</v>
      </c>
      <c r="K280" t="s">
        <v>44</v>
      </c>
      <c r="L280" t="s">
        <v>112</v>
      </c>
      <c r="M280" t="s">
        <v>31</v>
      </c>
    </row>
    <row r="281" spans="1:13" x14ac:dyDescent="0.3">
      <c r="A281" t="s">
        <v>547</v>
      </c>
      <c r="B281" t="s">
        <v>548</v>
      </c>
      <c r="C281">
        <v>45</v>
      </c>
      <c r="D281" t="s">
        <v>34</v>
      </c>
      <c r="E281" t="s">
        <v>83</v>
      </c>
      <c r="F281" t="s">
        <v>26</v>
      </c>
      <c r="G281" t="s">
        <v>54</v>
      </c>
      <c r="H281">
        <v>51423.98</v>
      </c>
      <c r="I281">
        <v>8</v>
      </c>
      <c r="J281" t="s">
        <v>19</v>
      </c>
      <c r="K281" t="s">
        <v>74</v>
      </c>
      <c r="L281" t="s">
        <v>45</v>
      </c>
      <c r="M281" t="s">
        <v>22</v>
      </c>
    </row>
    <row r="282" spans="1:13" x14ac:dyDescent="0.3">
      <c r="A282" t="s">
        <v>549</v>
      </c>
      <c r="B282" t="s">
        <v>550</v>
      </c>
      <c r="C282">
        <v>4</v>
      </c>
      <c r="D282" t="s">
        <v>34</v>
      </c>
      <c r="E282" t="s">
        <v>83</v>
      </c>
      <c r="F282" t="s">
        <v>79</v>
      </c>
      <c r="G282" t="s">
        <v>27</v>
      </c>
      <c r="H282">
        <v>88993.81</v>
      </c>
      <c r="I282">
        <v>7</v>
      </c>
      <c r="J282" t="s">
        <v>28</v>
      </c>
      <c r="K282" t="s">
        <v>69</v>
      </c>
      <c r="L282" t="s">
        <v>112</v>
      </c>
      <c r="M282" t="s">
        <v>22</v>
      </c>
    </row>
    <row r="283" spans="1:13" x14ac:dyDescent="0.3">
      <c r="A283" t="s">
        <v>551</v>
      </c>
      <c r="B283" t="s">
        <v>129</v>
      </c>
      <c r="C283">
        <v>85</v>
      </c>
      <c r="D283" t="s">
        <v>15</v>
      </c>
      <c r="E283" t="s">
        <v>117</v>
      </c>
      <c r="F283" t="s">
        <v>17</v>
      </c>
      <c r="G283" t="s">
        <v>18</v>
      </c>
      <c r="H283">
        <v>62253.97</v>
      </c>
      <c r="I283">
        <v>19</v>
      </c>
      <c r="J283" t="s">
        <v>19</v>
      </c>
      <c r="K283" t="s">
        <v>20</v>
      </c>
      <c r="L283" t="s">
        <v>40</v>
      </c>
      <c r="M283" t="s">
        <v>31</v>
      </c>
    </row>
    <row r="284" spans="1:13" x14ac:dyDescent="0.3">
      <c r="A284" t="s">
        <v>552</v>
      </c>
      <c r="B284" t="s">
        <v>553</v>
      </c>
      <c r="C284">
        <v>63</v>
      </c>
      <c r="D284" t="s">
        <v>15</v>
      </c>
      <c r="E284" t="s">
        <v>117</v>
      </c>
      <c r="F284" t="s">
        <v>26</v>
      </c>
      <c r="G284" t="s">
        <v>54</v>
      </c>
      <c r="H284">
        <v>42952.39</v>
      </c>
      <c r="I284">
        <v>19</v>
      </c>
      <c r="J284" t="s">
        <v>28</v>
      </c>
      <c r="K284" t="s">
        <v>69</v>
      </c>
      <c r="L284" t="s">
        <v>40</v>
      </c>
      <c r="M284" t="s">
        <v>58</v>
      </c>
    </row>
    <row r="285" spans="1:13" x14ac:dyDescent="0.3">
      <c r="A285" t="s">
        <v>554</v>
      </c>
      <c r="B285" t="s">
        <v>555</v>
      </c>
      <c r="C285">
        <v>50</v>
      </c>
      <c r="D285" t="s">
        <v>34</v>
      </c>
      <c r="E285" t="s">
        <v>64</v>
      </c>
      <c r="F285" t="s">
        <v>79</v>
      </c>
      <c r="G285" t="s">
        <v>43</v>
      </c>
      <c r="H285">
        <v>68042.91</v>
      </c>
      <c r="I285">
        <v>10</v>
      </c>
      <c r="J285" t="s">
        <v>19</v>
      </c>
      <c r="K285" t="s">
        <v>69</v>
      </c>
      <c r="L285" t="s">
        <v>45</v>
      </c>
      <c r="M285" t="s">
        <v>22</v>
      </c>
    </row>
    <row r="286" spans="1:13" x14ac:dyDescent="0.3">
      <c r="A286" t="s">
        <v>556</v>
      </c>
      <c r="B286" t="s">
        <v>137</v>
      </c>
      <c r="C286">
        <v>66</v>
      </c>
      <c r="D286" t="s">
        <v>34</v>
      </c>
      <c r="E286" t="s">
        <v>16</v>
      </c>
      <c r="F286" t="s">
        <v>89</v>
      </c>
      <c r="G286" t="s">
        <v>27</v>
      </c>
      <c r="H286">
        <v>14006.05</v>
      </c>
      <c r="I286">
        <v>14</v>
      </c>
      <c r="J286" t="s">
        <v>28</v>
      </c>
      <c r="K286" t="s">
        <v>29</v>
      </c>
      <c r="L286" t="s">
        <v>51</v>
      </c>
      <c r="M286" t="s">
        <v>22</v>
      </c>
    </row>
    <row r="287" spans="1:13" x14ac:dyDescent="0.3">
      <c r="A287" t="s">
        <v>557</v>
      </c>
      <c r="B287" t="s">
        <v>558</v>
      </c>
      <c r="C287">
        <v>68</v>
      </c>
      <c r="D287" t="s">
        <v>34</v>
      </c>
      <c r="E287" t="s">
        <v>16</v>
      </c>
      <c r="F287" t="s">
        <v>26</v>
      </c>
      <c r="G287" t="s">
        <v>27</v>
      </c>
      <c r="H287">
        <v>138490.35</v>
      </c>
      <c r="I287">
        <v>14</v>
      </c>
      <c r="J287" t="s">
        <v>19</v>
      </c>
      <c r="K287" t="s">
        <v>20</v>
      </c>
      <c r="L287" t="s">
        <v>21</v>
      </c>
      <c r="M287" t="s">
        <v>58</v>
      </c>
    </row>
    <row r="288" spans="1:13" x14ac:dyDescent="0.3">
      <c r="A288" t="s">
        <v>559</v>
      </c>
      <c r="B288" t="s">
        <v>560</v>
      </c>
      <c r="C288">
        <v>60</v>
      </c>
      <c r="D288" t="s">
        <v>15</v>
      </c>
      <c r="E288" t="s">
        <v>83</v>
      </c>
      <c r="F288" t="s">
        <v>61</v>
      </c>
      <c r="G288" t="s">
        <v>18</v>
      </c>
      <c r="H288">
        <v>126456.99</v>
      </c>
      <c r="I288">
        <v>12</v>
      </c>
      <c r="J288" t="s">
        <v>19</v>
      </c>
      <c r="K288" t="s">
        <v>44</v>
      </c>
      <c r="L288" t="s">
        <v>112</v>
      </c>
      <c r="M288" t="s">
        <v>58</v>
      </c>
    </row>
    <row r="289" spans="1:13" x14ac:dyDescent="0.3">
      <c r="A289" t="s">
        <v>561</v>
      </c>
      <c r="B289" t="s">
        <v>562</v>
      </c>
      <c r="C289">
        <v>18</v>
      </c>
      <c r="D289" t="s">
        <v>15</v>
      </c>
      <c r="E289" t="s">
        <v>83</v>
      </c>
      <c r="F289" t="s">
        <v>79</v>
      </c>
      <c r="G289" t="s">
        <v>43</v>
      </c>
      <c r="H289">
        <v>112860.55</v>
      </c>
      <c r="I289">
        <v>5</v>
      </c>
      <c r="J289" t="s">
        <v>28</v>
      </c>
      <c r="K289" t="s">
        <v>39</v>
      </c>
      <c r="L289" t="s">
        <v>40</v>
      </c>
      <c r="M289" t="s">
        <v>58</v>
      </c>
    </row>
    <row r="290" spans="1:13" x14ac:dyDescent="0.3">
      <c r="A290" t="s">
        <v>563</v>
      </c>
      <c r="B290" t="s">
        <v>205</v>
      </c>
      <c r="C290">
        <v>71</v>
      </c>
      <c r="D290" t="s">
        <v>34</v>
      </c>
      <c r="E290" t="s">
        <v>25</v>
      </c>
      <c r="F290" t="s">
        <v>79</v>
      </c>
      <c r="G290" t="s">
        <v>43</v>
      </c>
      <c r="H290">
        <v>123735.91</v>
      </c>
      <c r="I290">
        <v>20</v>
      </c>
      <c r="J290" t="s">
        <v>19</v>
      </c>
      <c r="K290" t="s">
        <v>55</v>
      </c>
      <c r="L290" t="s">
        <v>45</v>
      </c>
      <c r="M290" t="s">
        <v>31</v>
      </c>
    </row>
    <row r="291" spans="1:13" x14ac:dyDescent="0.3">
      <c r="A291" t="s">
        <v>564</v>
      </c>
      <c r="B291" t="s">
        <v>565</v>
      </c>
      <c r="C291">
        <v>39</v>
      </c>
      <c r="D291" t="s">
        <v>15</v>
      </c>
      <c r="E291" t="s">
        <v>64</v>
      </c>
      <c r="F291" t="s">
        <v>84</v>
      </c>
      <c r="G291" t="s">
        <v>43</v>
      </c>
      <c r="H291">
        <v>28007.48</v>
      </c>
      <c r="I291">
        <v>19</v>
      </c>
      <c r="J291" t="s">
        <v>19</v>
      </c>
      <c r="K291" t="s">
        <v>55</v>
      </c>
      <c r="L291" t="s">
        <v>21</v>
      </c>
      <c r="M291" t="s">
        <v>22</v>
      </c>
    </row>
    <row r="292" spans="1:13" x14ac:dyDescent="0.3">
      <c r="A292" t="s">
        <v>566</v>
      </c>
      <c r="B292" t="s">
        <v>567</v>
      </c>
      <c r="C292">
        <v>81</v>
      </c>
      <c r="D292" t="s">
        <v>34</v>
      </c>
      <c r="E292" t="s">
        <v>35</v>
      </c>
      <c r="F292" t="s">
        <v>61</v>
      </c>
      <c r="G292" t="s">
        <v>36</v>
      </c>
      <c r="H292">
        <v>65488.38</v>
      </c>
      <c r="I292">
        <v>18</v>
      </c>
      <c r="J292" t="s">
        <v>19</v>
      </c>
      <c r="K292" t="s">
        <v>20</v>
      </c>
      <c r="L292" t="s">
        <v>30</v>
      </c>
      <c r="M292" t="s">
        <v>58</v>
      </c>
    </row>
    <row r="293" spans="1:13" x14ac:dyDescent="0.3">
      <c r="A293" t="s">
        <v>568</v>
      </c>
      <c r="B293" t="s">
        <v>97</v>
      </c>
      <c r="C293">
        <v>60</v>
      </c>
      <c r="D293" t="s">
        <v>34</v>
      </c>
      <c r="E293" t="s">
        <v>25</v>
      </c>
      <c r="F293" t="s">
        <v>61</v>
      </c>
      <c r="G293" t="s">
        <v>18</v>
      </c>
      <c r="H293">
        <v>145347.48000000001</v>
      </c>
      <c r="I293">
        <v>11</v>
      </c>
      <c r="J293" t="s">
        <v>28</v>
      </c>
      <c r="K293" t="s">
        <v>39</v>
      </c>
      <c r="L293" t="s">
        <v>51</v>
      </c>
      <c r="M293" t="s">
        <v>58</v>
      </c>
    </row>
    <row r="294" spans="1:13" x14ac:dyDescent="0.3">
      <c r="A294" t="s">
        <v>569</v>
      </c>
      <c r="B294" t="s">
        <v>570</v>
      </c>
      <c r="C294">
        <v>21</v>
      </c>
      <c r="D294" t="s">
        <v>34</v>
      </c>
      <c r="E294" t="s">
        <v>64</v>
      </c>
      <c r="F294" t="s">
        <v>79</v>
      </c>
      <c r="G294" t="s">
        <v>27</v>
      </c>
      <c r="H294">
        <v>41966.44</v>
      </c>
      <c r="I294">
        <v>3</v>
      </c>
      <c r="J294" t="s">
        <v>28</v>
      </c>
      <c r="K294" t="s">
        <v>55</v>
      </c>
      <c r="L294" t="s">
        <v>112</v>
      </c>
      <c r="M294" t="s">
        <v>22</v>
      </c>
    </row>
    <row r="295" spans="1:13" x14ac:dyDescent="0.3">
      <c r="A295" t="s">
        <v>571</v>
      </c>
      <c r="B295" t="s">
        <v>572</v>
      </c>
      <c r="C295">
        <v>47</v>
      </c>
      <c r="D295" t="s">
        <v>34</v>
      </c>
      <c r="E295" t="s">
        <v>64</v>
      </c>
      <c r="F295" t="s">
        <v>26</v>
      </c>
      <c r="G295" t="s">
        <v>27</v>
      </c>
      <c r="H295">
        <v>134174.71</v>
      </c>
      <c r="I295">
        <v>13</v>
      </c>
      <c r="J295" t="s">
        <v>28</v>
      </c>
      <c r="K295" t="s">
        <v>20</v>
      </c>
      <c r="L295" t="s">
        <v>30</v>
      </c>
      <c r="M295" t="s">
        <v>58</v>
      </c>
    </row>
    <row r="296" spans="1:13" x14ac:dyDescent="0.3">
      <c r="A296" t="s">
        <v>573</v>
      </c>
      <c r="B296" t="s">
        <v>574</v>
      </c>
      <c r="C296">
        <v>53</v>
      </c>
      <c r="D296" t="s">
        <v>15</v>
      </c>
      <c r="E296" t="s">
        <v>16</v>
      </c>
      <c r="F296" t="s">
        <v>17</v>
      </c>
      <c r="G296" t="s">
        <v>54</v>
      </c>
      <c r="H296">
        <v>128229.32</v>
      </c>
      <c r="I296">
        <v>19</v>
      </c>
      <c r="J296" t="s">
        <v>28</v>
      </c>
      <c r="K296" t="s">
        <v>39</v>
      </c>
      <c r="L296" t="s">
        <v>30</v>
      </c>
      <c r="M296" t="s">
        <v>31</v>
      </c>
    </row>
    <row r="297" spans="1:13" x14ac:dyDescent="0.3">
      <c r="A297" t="s">
        <v>575</v>
      </c>
      <c r="B297" t="s">
        <v>576</v>
      </c>
      <c r="C297">
        <v>84</v>
      </c>
      <c r="D297" t="s">
        <v>34</v>
      </c>
      <c r="E297" t="s">
        <v>16</v>
      </c>
      <c r="F297" t="s">
        <v>61</v>
      </c>
      <c r="G297" t="s">
        <v>36</v>
      </c>
      <c r="H297">
        <v>2342.63</v>
      </c>
      <c r="I297">
        <v>17</v>
      </c>
      <c r="J297" t="s">
        <v>28</v>
      </c>
      <c r="K297" t="s">
        <v>74</v>
      </c>
      <c r="L297" t="s">
        <v>112</v>
      </c>
      <c r="M297" t="s">
        <v>58</v>
      </c>
    </row>
    <row r="298" spans="1:13" x14ac:dyDescent="0.3">
      <c r="A298" t="s">
        <v>577</v>
      </c>
      <c r="B298" t="s">
        <v>546</v>
      </c>
      <c r="C298">
        <v>68</v>
      </c>
      <c r="D298" t="s">
        <v>15</v>
      </c>
      <c r="E298" t="s">
        <v>16</v>
      </c>
      <c r="F298" t="s">
        <v>61</v>
      </c>
      <c r="G298" t="s">
        <v>18</v>
      </c>
      <c r="H298">
        <v>117703.56</v>
      </c>
      <c r="I298">
        <v>7</v>
      </c>
      <c r="J298" t="s">
        <v>19</v>
      </c>
      <c r="K298" t="s">
        <v>44</v>
      </c>
      <c r="L298" t="s">
        <v>45</v>
      </c>
      <c r="M298" t="s">
        <v>22</v>
      </c>
    </row>
    <row r="299" spans="1:13" x14ac:dyDescent="0.3">
      <c r="A299" t="s">
        <v>578</v>
      </c>
      <c r="B299" t="s">
        <v>579</v>
      </c>
      <c r="C299">
        <v>80</v>
      </c>
      <c r="D299" t="s">
        <v>34</v>
      </c>
      <c r="E299" t="s">
        <v>64</v>
      </c>
      <c r="F299" t="s">
        <v>84</v>
      </c>
      <c r="G299" t="s">
        <v>43</v>
      </c>
      <c r="H299">
        <v>136917.81</v>
      </c>
      <c r="I299">
        <v>11</v>
      </c>
      <c r="J299" t="s">
        <v>19</v>
      </c>
      <c r="K299" t="s">
        <v>39</v>
      </c>
      <c r="L299" t="s">
        <v>45</v>
      </c>
      <c r="M299" t="s">
        <v>31</v>
      </c>
    </row>
    <row r="300" spans="1:13" x14ac:dyDescent="0.3">
      <c r="A300" t="s">
        <v>580</v>
      </c>
      <c r="B300" t="s">
        <v>581</v>
      </c>
      <c r="C300">
        <v>35</v>
      </c>
      <c r="D300" t="s">
        <v>15</v>
      </c>
      <c r="E300" t="s">
        <v>83</v>
      </c>
      <c r="F300" t="s">
        <v>17</v>
      </c>
      <c r="G300" t="s">
        <v>18</v>
      </c>
      <c r="H300">
        <v>70579.44</v>
      </c>
      <c r="I300">
        <v>20</v>
      </c>
      <c r="J300" t="s">
        <v>19</v>
      </c>
      <c r="K300" t="s">
        <v>44</v>
      </c>
      <c r="L300" t="s">
        <v>40</v>
      </c>
      <c r="M300" t="s">
        <v>31</v>
      </c>
    </row>
    <row r="301" spans="1:13" x14ac:dyDescent="0.3">
      <c r="A301" t="s">
        <v>582</v>
      </c>
      <c r="B301" t="s">
        <v>309</v>
      </c>
      <c r="C301">
        <v>58</v>
      </c>
      <c r="D301" t="s">
        <v>15</v>
      </c>
      <c r="E301" t="s">
        <v>64</v>
      </c>
      <c r="F301" t="s">
        <v>89</v>
      </c>
      <c r="G301" t="s">
        <v>27</v>
      </c>
      <c r="H301">
        <v>118314.41</v>
      </c>
      <c r="I301">
        <v>6</v>
      </c>
      <c r="J301" t="s">
        <v>28</v>
      </c>
      <c r="K301" t="s">
        <v>39</v>
      </c>
      <c r="L301" t="s">
        <v>112</v>
      </c>
      <c r="M301" t="s">
        <v>58</v>
      </c>
    </row>
    <row r="302" spans="1:13" x14ac:dyDescent="0.3">
      <c r="A302" t="s">
        <v>583</v>
      </c>
      <c r="B302" t="s">
        <v>348</v>
      </c>
      <c r="C302">
        <v>35</v>
      </c>
      <c r="D302" t="s">
        <v>15</v>
      </c>
      <c r="E302" t="s">
        <v>25</v>
      </c>
      <c r="F302" t="s">
        <v>84</v>
      </c>
      <c r="G302" t="s">
        <v>80</v>
      </c>
      <c r="H302">
        <v>87355.81</v>
      </c>
      <c r="I302">
        <v>18</v>
      </c>
      <c r="J302" t="s">
        <v>19</v>
      </c>
      <c r="K302" t="s">
        <v>39</v>
      </c>
      <c r="L302" t="s">
        <v>21</v>
      </c>
      <c r="M302" t="s">
        <v>22</v>
      </c>
    </row>
    <row r="303" spans="1:13" x14ac:dyDescent="0.3">
      <c r="A303" t="s">
        <v>584</v>
      </c>
      <c r="B303" t="s">
        <v>585</v>
      </c>
      <c r="C303">
        <v>7</v>
      </c>
      <c r="D303" t="s">
        <v>34</v>
      </c>
      <c r="E303" t="s">
        <v>83</v>
      </c>
      <c r="F303" t="s">
        <v>84</v>
      </c>
      <c r="G303" t="s">
        <v>43</v>
      </c>
      <c r="H303">
        <v>46543.62</v>
      </c>
      <c r="I303">
        <v>4</v>
      </c>
      <c r="J303" t="s">
        <v>28</v>
      </c>
      <c r="K303" t="s">
        <v>55</v>
      </c>
      <c r="L303" t="s">
        <v>45</v>
      </c>
      <c r="M303" t="s">
        <v>22</v>
      </c>
    </row>
    <row r="304" spans="1:13" x14ac:dyDescent="0.3">
      <c r="A304" t="s">
        <v>586</v>
      </c>
      <c r="B304" t="s">
        <v>587</v>
      </c>
      <c r="C304">
        <v>78</v>
      </c>
      <c r="D304" t="s">
        <v>15</v>
      </c>
      <c r="E304" t="s">
        <v>83</v>
      </c>
      <c r="F304" t="s">
        <v>84</v>
      </c>
      <c r="G304" t="s">
        <v>27</v>
      </c>
      <c r="H304">
        <v>128399.97</v>
      </c>
      <c r="I304">
        <v>8</v>
      </c>
      <c r="J304" t="s">
        <v>19</v>
      </c>
      <c r="K304" t="s">
        <v>55</v>
      </c>
      <c r="L304" t="s">
        <v>40</v>
      </c>
      <c r="M304" t="s">
        <v>22</v>
      </c>
    </row>
    <row r="305" spans="1:13" x14ac:dyDescent="0.3">
      <c r="A305" t="s">
        <v>588</v>
      </c>
      <c r="B305" t="s">
        <v>589</v>
      </c>
      <c r="C305">
        <v>44</v>
      </c>
      <c r="D305" t="s">
        <v>15</v>
      </c>
      <c r="E305" t="s">
        <v>83</v>
      </c>
      <c r="F305" t="s">
        <v>17</v>
      </c>
      <c r="G305" t="s">
        <v>27</v>
      </c>
      <c r="H305">
        <v>129800.13</v>
      </c>
      <c r="I305">
        <v>14</v>
      </c>
      <c r="J305" t="s">
        <v>28</v>
      </c>
      <c r="K305" t="s">
        <v>55</v>
      </c>
      <c r="L305" t="s">
        <v>51</v>
      </c>
      <c r="M305" t="s">
        <v>58</v>
      </c>
    </row>
    <row r="306" spans="1:13" x14ac:dyDescent="0.3">
      <c r="A306" t="s">
        <v>590</v>
      </c>
      <c r="B306" t="s">
        <v>216</v>
      </c>
      <c r="C306">
        <v>23</v>
      </c>
      <c r="D306" t="s">
        <v>15</v>
      </c>
      <c r="E306" t="s">
        <v>64</v>
      </c>
      <c r="F306" t="s">
        <v>84</v>
      </c>
      <c r="G306" t="s">
        <v>43</v>
      </c>
      <c r="H306">
        <v>90036</v>
      </c>
      <c r="I306">
        <v>12</v>
      </c>
      <c r="J306" t="s">
        <v>28</v>
      </c>
      <c r="K306" t="s">
        <v>29</v>
      </c>
      <c r="L306" t="s">
        <v>30</v>
      </c>
      <c r="M306" t="s">
        <v>58</v>
      </c>
    </row>
    <row r="307" spans="1:13" x14ac:dyDescent="0.3">
      <c r="A307" t="s">
        <v>591</v>
      </c>
      <c r="B307" t="s">
        <v>592</v>
      </c>
      <c r="C307">
        <v>18</v>
      </c>
      <c r="D307" t="s">
        <v>15</v>
      </c>
      <c r="E307" t="s">
        <v>83</v>
      </c>
      <c r="F307" t="s">
        <v>61</v>
      </c>
      <c r="G307" t="s">
        <v>43</v>
      </c>
      <c r="H307">
        <v>129432.21</v>
      </c>
      <c r="I307">
        <v>3</v>
      </c>
      <c r="J307" t="s">
        <v>28</v>
      </c>
      <c r="K307" t="s">
        <v>44</v>
      </c>
      <c r="L307" t="s">
        <v>30</v>
      </c>
      <c r="M307" t="s">
        <v>22</v>
      </c>
    </row>
    <row r="308" spans="1:13" x14ac:dyDescent="0.3">
      <c r="A308" t="s">
        <v>593</v>
      </c>
      <c r="B308" t="s">
        <v>594</v>
      </c>
      <c r="C308">
        <v>17</v>
      </c>
      <c r="D308" t="s">
        <v>15</v>
      </c>
      <c r="E308" t="s">
        <v>64</v>
      </c>
      <c r="F308" t="s">
        <v>17</v>
      </c>
      <c r="G308" t="s">
        <v>36</v>
      </c>
      <c r="H308">
        <v>2777.06</v>
      </c>
      <c r="I308">
        <v>4</v>
      </c>
      <c r="J308" t="s">
        <v>28</v>
      </c>
      <c r="K308" t="s">
        <v>74</v>
      </c>
      <c r="L308" t="s">
        <v>30</v>
      </c>
      <c r="M308" t="s">
        <v>58</v>
      </c>
    </row>
    <row r="309" spans="1:13" x14ac:dyDescent="0.3">
      <c r="A309" t="s">
        <v>595</v>
      </c>
      <c r="B309" t="s">
        <v>596</v>
      </c>
      <c r="C309">
        <v>9</v>
      </c>
      <c r="D309" t="s">
        <v>15</v>
      </c>
      <c r="E309" t="s">
        <v>16</v>
      </c>
      <c r="F309" t="s">
        <v>61</v>
      </c>
      <c r="G309" t="s">
        <v>80</v>
      </c>
      <c r="H309">
        <v>131417.37</v>
      </c>
      <c r="I309">
        <v>6</v>
      </c>
      <c r="J309" t="s">
        <v>19</v>
      </c>
      <c r="K309" t="s">
        <v>69</v>
      </c>
      <c r="L309" t="s">
        <v>45</v>
      </c>
      <c r="M309" t="s">
        <v>58</v>
      </c>
    </row>
    <row r="310" spans="1:13" x14ac:dyDescent="0.3">
      <c r="A310" t="s">
        <v>597</v>
      </c>
      <c r="B310" t="s">
        <v>598</v>
      </c>
      <c r="C310">
        <v>39</v>
      </c>
      <c r="D310" t="s">
        <v>15</v>
      </c>
      <c r="E310" t="s">
        <v>16</v>
      </c>
      <c r="F310" t="s">
        <v>61</v>
      </c>
      <c r="G310" t="s">
        <v>36</v>
      </c>
      <c r="H310">
        <v>55563.25</v>
      </c>
      <c r="I310">
        <v>8</v>
      </c>
      <c r="J310" t="s">
        <v>28</v>
      </c>
      <c r="K310" t="s">
        <v>74</v>
      </c>
      <c r="L310" t="s">
        <v>21</v>
      </c>
      <c r="M310" t="s">
        <v>31</v>
      </c>
    </row>
    <row r="311" spans="1:13" x14ac:dyDescent="0.3">
      <c r="A311" t="s">
        <v>599</v>
      </c>
      <c r="B311" t="s">
        <v>470</v>
      </c>
      <c r="C311">
        <v>85</v>
      </c>
      <c r="D311" t="s">
        <v>15</v>
      </c>
      <c r="E311" t="s">
        <v>16</v>
      </c>
      <c r="F311" t="s">
        <v>26</v>
      </c>
      <c r="G311" t="s">
        <v>27</v>
      </c>
      <c r="H311">
        <v>80014.06</v>
      </c>
      <c r="I311">
        <v>17</v>
      </c>
      <c r="J311" t="s">
        <v>28</v>
      </c>
      <c r="K311" t="s">
        <v>55</v>
      </c>
      <c r="L311" t="s">
        <v>21</v>
      </c>
      <c r="M311" t="s">
        <v>22</v>
      </c>
    </row>
    <row r="312" spans="1:13" x14ac:dyDescent="0.3">
      <c r="A312" t="s">
        <v>600</v>
      </c>
      <c r="B312" t="s">
        <v>594</v>
      </c>
      <c r="C312">
        <v>19</v>
      </c>
      <c r="D312" t="s">
        <v>34</v>
      </c>
      <c r="E312" t="s">
        <v>117</v>
      </c>
      <c r="F312" t="s">
        <v>89</v>
      </c>
      <c r="G312" t="s">
        <v>54</v>
      </c>
      <c r="H312">
        <v>52124.59</v>
      </c>
      <c r="I312">
        <v>18</v>
      </c>
      <c r="J312" t="s">
        <v>28</v>
      </c>
      <c r="K312" t="s">
        <v>69</v>
      </c>
      <c r="L312" t="s">
        <v>21</v>
      </c>
      <c r="M312" t="s">
        <v>58</v>
      </c>
    </row>
    <row r="313" spans="1:13" x14ac:dyDescent="0.3">
      <c r="A313" t="s">
        <v>601</v>
      </c>
      <c r="B313" t="s">
        <v>602</v>
      </c>
      <c r="C313">
        <v>4</v>
      </c>
      <c r="D313" t="s">
        <v>15</v>
      </c>
      <c r="E313" t="s">
        <v>117</v>
      </c>
      <c r="F313" t="s">
        <v>89</v>
      </c>
      <c r="G313" t="s">
        <v>18</v>
      </c>
      <c r="H313">
        <v>140839.81</v>
      </c>
      <c r="I313">
        <v>8</v>
      </c>
      <c r="J313" t="s">
        <v>28</v>
      </c>
      <c r="K313" t="s">
        <v>69</v>
      </c>
      <c r="L313" t="s">
        <v>21</v>
      </c>
      <c r="M313" t="s">
        <v>31</v>
      </c>
    </row>
    <row r="314" spans="1:13" x14ac:dyDescent="0.3">
      <c r="A314" t="s">
        <v>603</v>
      </c>
      <c r="B314" t="s">
        <v>493</v>
      </c>
      <c r="C314">
        <v>46</v>
      </c>
      <c r="D314" t="s">
        <v>15</v>
      </c>
      <c r="E314" t="s">
        <v>25</v>
      </c>
      <c r="F314" t="s">
        <v>79</v>
      </c>
      <c r="G314" t="s">
        <v>18</v>
      </c>
      <c r="H314">
        <v>39777.57</v>
      </c>
      <c r="I314">
        <v>5</v>
      </c>
      <c r="J314" t="s">
        <v>28</v>
      </c>
      <c r="K314" t="s">
        <v>20</v>
      </c>
      <c r="L314" t="s">
        <v>40</v>
      </c>
      <c r="M314" t="s">
        <v>22</v>
      </c>
    </row>
    <row r="315" spans="1:13" x14ac:dyDescent="0.3">
      <c r="A315" t="s">
        <v>604</v>
      </c>
      <c r="B315" t="s">
        <v>605</v>
      </c>
      <c r="C315">
        <v>16</v>
      </c>
      <c r="D315" t="s">
        <v>15</v>
      </c>
      <c r="E315" t="s">
        <v>25</v>
      </c>
      <c r="F315" t="s">
        <v>79</v>
      </c>
      <c r="G315" t="s">
        <v>43</v>
      </c>
      <c r="H315">
        <v>107125.24</v>
      </c>
      <c r="I315">
        <v>17</v>
      </c>
      <c r="J315" t="s">
        <v>19</v>
      </c>
      <c r="K315" t="s">
        <v>50</v>
      </c>
      <c r="L315" t="s">
        <v>45</v>
      </c>
      <c r="M315" t="s">
        <v>22</v>
      </c>
    </row>
    <row r="316" spans="1:13" x14ac:dyDescent="0.3">
      <c r="A316" t="s">
        <v>606</v>
      </c>
      <c r="B316" t="s">
        <v>261</v>
      </c>
      <c r="C316">
        <v>5</v>
      </c>
      <c r="D316" t="s">
        <v>34</v>
      </c>
      <c r="E316" t="s">
        <v>64</v>
      </c>
      <c r="F316" t="s">
        <v>61</v>
      </c>
      <c r="G316" t="s">
        <v>54</v>
      </c>
      <c r="H316">
        <v>21395.31</v>
      </c>
      <c r="I316">
        <v>1</v>
      </c>
      <c r="J316" t="s">
        <v>28</v>
      </c>
      <c r="K316" t="s">
        <v>20</v>
      </c>
      <c r="L316" t="s">
        <v>51</v>
      </c>
      <c r="M316" t="s">
        <v>22</v>
      </c>
    </row>
    <row r="317" spans="1:13" x14ac:dyDescent="0.3">
      <c r="A317" t="s">
        <v>607</v>
      </c>
      <c r="B317" t="s">
        <v>375</v>
      </c>
      <c r="C317">
        <v>22</v>
      </c>
      <c r="D317" t="s">
        <v>34</v>
      </c>
      <c r="E317" t="s">
        <v>16</v>
      </c>
      <c r="F317" t="s">
        <v>61</v>
      </c>
      <c r="G317" t="s">
        <v>36</v>
      </c>
      <c r="H317">
        <v>130726.41</v>
      </c>
      <c r="I317">
        <v>8</v>
      </c>
      <c r="J317" t="s">
        <v>19</v>
      </c>
      <c r="K317" t="s">
        <v>39</v>
      </c>
      <c r="L317" t="s">
        <v>30</v>
      </c>
      <c r="M317" t="s">
        <v>22</v>
      </c>
    </row>
    <row r="318" spans="1:13" x14ac:dyDescent="0.3">
      <c r="A318" t="s">
        <v>608</v>
      </c>
      <c r="B318" t="s">
        <v>423</v>
      </c>
      <c r="C318">
        <v>9</v>
      </c>
      <c r="D318" t="s">
        <v>34</v>
      </c>
      <c r="E318" t="s">
        <v>64</v>
      </c>
      <c r="F318" t="s">
        <v>79</v>
      </c>
      <c r="G318" t="s">
        <v>36</v>
      </c>
      <c r="H318">
        <v>26067.65</v>
      </c>
      <c r="I318">
        <v>9</v>
      </c>
      <c r="J318" t="s">
        <v>28</v>
      </c>
      <c r="K318" t="s">
        <v>44</v>
      </c>
      <c r="L318" t="s">
        <v>45</v>
      </c>
      <c r="M318" t="s">
        <v>58</v>
      </c>
    </row>
    <row r="319" spans="1:13" x14ac:dyDescent="0.3">
      <c r="A319" t="s">
        <v>609</v>
      </c>
      <c r="B319" t="s">
        <v>78</v>
      </c>
      <c r="C319">
        <v>38</v>
      </c>
      <c r="D319" t="s">
        <v>15</v>
      </c>
      <c r="E319" t="s">
        <v>35</v>
      </c>
      <c r="F319" t="s">
        <v>17</v>
      </c>
      <c r="G319" t="s">
        <v>27</v>
      </c>
      <c r="H319">
        <v>25013.759999999998</v>
      </c>
      <c r="I319">
        <v>3</v>
      </c>
      <c r="J319" t="s">
        <v>19</v>
      </c>
      <c r="K319" t="s">
        <v>69</v>
      </c>
      <c r="L319" t="s">
        <v>21</v>
      </c>
      <c r="M319" t="s">
        <v>58</v>
      </c>
    </row>
    <row r="320" spans="1:13" x14ac:dyDescent="0.3">
      <c r="A320" t="s">
        <v>610</v>
      </c>
      <c r="B320" t="s">
        <v>405</v>
      </c>
      <c r="C320">
        <v>13</v>
      </c>
      <c r="D320" t="s">
        <v>15</v>
      </c>
      <c r="E320" t="s">
        <v>64</v>
      </c>
      <c r="F320" t="s">
        <v>89</v>
      </c>
      <c r="G320" t="s">
        <v>43</v>
      </c>
      <c r="H320">
        <v>38567.58</v>
      </c>
      <c r="I320">
        <v>3</v>
      </c>
      <c r="J320" t="s">
        <v>28</v>
      </c>
      <c r="K320" t="s">
        <v>69</v>
      </c>
      <c r="L320" t="s">
        <v>112</v>
      </c>
      <c r="M320" t="s">
        <v>31</v>
      </c>
    </row>
    <row r="321" spans="1:13" x14ac:dyDescent="0.3">
      <c r="A321" t="s">
        <v>611</v>
      </c>
      <c r="B321" t="s">
        <v>592</v>
      </c>
      <c r="C321">
        <v>49</v>
      </c>
      <c r="D321" t="s">
        <v>34</v>
      </c>
      <c r="E321" t="s">
        <v>64</v>
      </c>
      <c r="F321" t="s">
        <v>26</v>
      </c>
      <c r="G321" t="s">
        <v>43</v>
      </c>
      <c r="H321">
        <v>56676.13</v>
      </c>
      <c r="I321">
        <v>3</v>
      </c>
      <c r="J321" t="s">
        <v>28</v>
      </c>
      <c r="K321" t="s">
        <v>39</v>
      </c>
      <c r="L321" t="s">
        <v>112</v>
      </c>
      <c r="M321" t="s">
        <v>22</v>
      </c>
    </row>
    <row r="322" spans="1:13" x14ac:dyDescent="0.3">
      <c r="A322" t="s">
        <v>612</v>
      </c>
      <c r="B322" t="s">
        <v>536</v>
      </c>
      <c r="C322">
        <v>54</v>
      </c>
      <c r="D322" t="s">
        <v>15</v>
      </c>
      <c r="E322" t="s">
        <v>83</v>
      </c>
      <c r="F322" t="s">
        <v>89</v>
      </c>
      <c r="G322" t="s">
        <v>18</v>
      </c>
      <c r="H322">
        <v>63527.94</v>
      </c>
      <c r="I322">
        <v>14</v>
      </c>
      <c r="J322" t="s">
        <v>19</v>
      </c>
      <c r="K322" t="s">
        <v>55</v>
      </c>
      <c r="L322" t="s">
        <v>112</v>
      </c>
      <c r="M322" t="s">
        <v>22</v>
      </c>
    </row>
    <row r="323" spans="1:13" x14ac:dyDescent="0.3">
      <c r="A323" t="s">
        <v>613</v>
      </c>
      <c r="B323" t="s">
        <v>614</v>
      </c>
      <c r="C323">
        <v>52</v>
      </c>
      <c r="D323" t="s">
        <v>34</v>
      </c>
      <c r="E323" t="s">
        <v>117</v>
      </c>
      <c r="F323" t="s">
        <v>26</v>
      </c>
      <c r="G323" t="s">
        <v>54</v>
      </c>
      <c r="H323">
        <v>76427.47</v>
      </c>
      <c r="I323">
        <v>17</v>
      </c>
      <c r="J323" t="s">
        <v>19</v>
      </c>
      <c r="K323" t="s">
        <v>69</v>
      </c>
      <c r="L323" t="s">
        <v>51</v>
      </c>
      <c r="M323" t="s">
        <v>22</v>
      </c>
    </row>
    <row r="324" spans="1:13" x14ac:dyDescent="0.3">
      <c r="A324" t="s">
        <v>615</v>
      </c>
      <c r="B324" t="s">
        <v>616</v>
      </c>
      <c r="C324">
        <v>79</v>
      </c>
      <c r="D324" t="s">
        <v>34</v>
      </c>
      <c r="E324" t="s">
        <v>117</v>
      </c>
      <c r="F324" t="s">
        <v>17</v>
      </c>
      <c r="G324" t="s">
        <v>80</v>
      </c>
      <c r="H324">
        <v>89656.06</v>
      </c>
      <c r="I324">
        <v>18</v>
      </c>
      <c r="J324" t="s">
        <v>19</v>
      </c>
      <c r="K324" t="s">
        <v>50</v>
      </c>
      <c r="L324" t="s">
        <v>30</v>
      </c>
      <c r="M324" t="s">
        <v>58</v>
      </c>
    </row>
    <row r="325" spans="1:13" x14ac:dyDescent="0.3">
      <c r="A325" t="s">
        <v>617</v>
      </c>
      <c r="B325" t="s">
        <v>587</v>
      </c>
      <c r="C325">
        <v>80</v>
      </c>
      <c r="D325" t="s">
        <v>34</v>
      </c>
      <c r="E325" t="s">
        <v>117</v>
      </c>
      <c r="F325" t="s">
        <v>79</v>
      </c>
      <c r="G325" t="s">
        <v>43</v>
      </c>
      <c r="H325">
        <v>47162.81</v>
      </c>
      <c r="I325">
        <v>5</v>
      </c>
      <c r="J325" t="s">
        <v>19</v>
      </c>
      <c r="K325" t="s">
        <v>39</v>
      </c>
      <c r="L325" t="s">
        <v>112</v>
      </c>
      <c r="M325" t="s">
        <v>31</v>
      </c>
    </row>
    <row r="326" spans="1:13" x14ac:dyDescent="0.3">
      <c r="A326" t="s">
        <v>618</v>
      </c>
      <c r="B326" t="s">
        <v>297</v>
      </c>
      <c r="C326">
        <v>22</v>
      </c>
      <c r="D326" t="s">
        <v>15</v>
      </c>
      <c r="E326" t="s">
        <v>83</v>
      </c>
      <c r="F326" t="s">
        <v>84</v>
      </c>
      <c r="G326" t="s">
        <v>43</v>
      </c>
      <c r="H326">
        <v>36620.54</v>
      </c>
      <c r="I326">
        <v>4</v>
      </c>
      <c r="J326" t="s">
        <v>19</v>
      </c>
      <c r="K326" t="s">
        <v>20</v>
      </c>
      <c r="L326" t="s">
        <v>45</v>
      </c>
      <c r="M326" t="s">
        <v>22</v>
      </c>
    </row>
    <row r="327" spans="1:13" x14ac:dyDescent="0.3">
      <c r="A327" t="s">
        <v>619</v>
      </c>
      <c r="B327" t="s">
        <v>129</v>
      </c>
      <c r="C327">
        <v>40</v>
      </c>
      <c r="D327" t="s">
        <v>15</v>
      </c>
      <c r="E327" t="s">
        <v>64</v>
      </c>
      <c r="F327" t="s">
        <v>79</v>
      </c>
      <c r="G327" t="s">
        <v>43</v>
      </c>
      <c r="H327">
        <v>149049.59</v>
      </c>
      <c r="I327">
        <v>13</v>
      </c>
      <c r="J327" t="s">
        <v>19</v>
      </c>
      <c r="K327" t="s">
        <v>50</v>
      </c>
      <c r="L327" t="s">
        <v>51</v>
      </c>
      <c r="M327" t="s">
        <v>22</v>
      </c>
    </row>
    <row r="328" spans="1:13" x14ac:dyDescent="0.3">
      <c r="A328" t="s">
        <v>620</v>
      </c>
      <c r="B328" t="s">
        <v>377</v>
      </c>
      <c r="C328">
        <v>32</v>
      </c>
      <c r="D328" t="s">
        <v>15</v>
      </c>
      <c r="E328" t="s">
        <v>35</v>
      </c>
      <c r="F328" t="s">
        <v>89</v>
      </c>
      <c r="G328" t="s">
        <v>18</v>
      </c>
      <c r="H328">
        <v>132073.73000000001</v>
      </c>
      <c r="I328">
        <v>20</v>
      </c>
      <c r="J328" t="s">
        <v>28</v>
      </c>
      <c r="K328" t="s">
        <v>50</v>
      </c>
      <c r="L328" t="s">
        <v>30</v>
      </c>
      <c r="M328" t="s">
        <v>31</v>
      </c>
    </row>
    <row r="329" spans="1:13" x14ac:dyDescent="0.3">
      <c r="A329" t="s">
        <v>621</v>
      </c>
      <c r="B329" t="s">
        <v>622</v>
      </c>
      <c r="C329">
        <v>89</v>
      </c>
      <c r="D329" t="s">
        <v>34</v>
      </c>
      <c r="E329" t="s">
        <v>25</v>
      </c>
      <c r="F329" t="s">
        <v>26</v>
      </c>
      <c r="G329" t="s">
        <v>54</v>
      </c>
      <c r="H329">
        <v>120642.5</v>
      </c>
      <c r="I329">
        <v>5</v>
      </c>
      <c r="J329" t="s">
        <v>28</v>
      </c>
      <c r="K329" t="s">
        <v>44</v>
      </c>
      <c r="L329" t="s">
        <v>45</v>
      </c>
      <c r="M329" t="s">
        <v>22</v>
      </c>
    </row>
    <row r="330" spans="1:13" x14ac:dyDescent="0.3">
      <c r="A330" t="s">
        <v>623</v>
      </c>
      <c r="B330" t="s">
        <v>624</v>
      </c>
      <c r="C330">
        <v>35</v>
      </c>
      <c r="D330" t="s">
        <v>34</v>
      </c>
      <c r="E330" t="s">
        <v>117</v>
      </c>
      <c r="F330" t="s">
        <v>79</v>
      </c>
      <c r="G330" t="s">
        <v>27</v>
      </c>
      <c r="H330">
        <v>65625.440000000002</v>
      </c>
      <c r="I330">
        <v>2</v>
      </c>
      <c r="J330" t="s">
        <v>28</v>
      </c>
      <c r="K330" t="s">
        <v>50</v>
      </c>
      <c r="L330" t="s">
        <v>112</v>
      </c>
      <c r="M330" t="s">
        <v>22</v>
      </c>
    </row>
    <row r="331" spans="1:13" x14ac:dyDescent="0.3">
      <c r="A331" t="s">
        <v>625</v>
      </c>
      <c r="B331" t="s">
        <v>626</v>
      </c>
      <c r="C331">
        <v>45</v>
      </c>
      <c r="D331" t="s">
        <v>15</v>
      </c>
      <c r="E331" t="s">
        <v>83</v>
      </c>
      <c r="F331" t="s">
        <v>26</v>
      </c>
      <c r="G331" t="s">
        <v>43</v>
      </c>
      <c r="H331">
        <v>41653.57</v>
      </c>
      <c r="I331">
        <v>20</v>
      </c>
      <c r="J331" t="s">
        <v>28</v>
      </c>
      <c r="K331" t="s">
        <v>69</v>
      </c>
      <c r="L331" t="s">
        <v>40</v>
      </c>
      <c r="M331" t="s">
        <v>58</v>
      </c>
    </row>
    <row r="332" spans="1:13" x14ac:dyDescent="0.3">
      <c r="A332" t="s">
        <v>627</v>
      </c>
      <c r="B332" t="s">
        <v>628</v>
      </c>
      <c r="C332">
        <v>2</v>
      </c>
      <c r="D332" t="s">
        <v>34</v>
      </c>
      <c r="E332" t="s">
        <v>16</v>
      </c>
      <c r="F332" t="s">
        <v>61</v>
      </c>
      <c r="G332" t="s">
        <v>18</v>
      </c>
      <c r="H332">
        <v>106990.64</v>
      </c>
      <c r="I332">
        <v>5</v>
      </c>
      <c r="J332" t="s">
        <v>28</v>
      </c>
      <c r="K332" t="s">
        <v>50</v>
      </c>
      <c r="L332" t="s">
        <v>112</v>
      </c>
      <c r="M332" t="s">
        <v>22</v>
      </c>
    </row>
    <row r="333" spans="1:13" x14ac:dyDescent="0.3">
      <c r="A333" t="s">
        <v>629</v>
      </c>
      <c r="B333" t="s">
        <v>630</v>
      </c>
      <c r="C333">
        <v>25</v>
      </c>
      <c r="D333" t="s">
        <v>34</v>
      </c>
      <c r="E333" t="s">
        <v>64</v>
      </c>
      <c r="F333" t="s">
        <v>84</v>
      </c>
      <c r="G333" t="s">
        <v>43</v>
      </c>
      <c r="H333">
        <v>86033.8</v>
      </c>
      <c r="I333">
        <v>15</v>
      </c>
      <c r="J333" t="s">
        <v>28</v>
      </c>
      <c r="K333" t="s">
        <v>50</v>
      </c>
      <c r="L333" t="s">
        <v>112</v>
      </c>
      <c r="M333" t="s">
        <v>31</v>
      </c>
    </row>
    <row r="334" spans="1:13" x14ac:dyDescent="0.3">
      <c r="A334" t="s">
        <v>631</v>
      </c>
      <c r="B334" t="s">
        <v>576</v>
      </c>
      <c r="C334">
        <v>35</v>
      </c>
      <c r="D334" t="s">
        <v>15</v>
      </c>
      <c r="E334" t="s">
        <v>117</v>
      </c>
      <c r="F334" t="s">
        <v>61</v>
      </c>
      <c r="G334" t="s">
        <v>27</v>
      </c>
      <c r="H334">
        <v>122621.63</v>
      </c>
      <c r="I334">
        <v>7</v>
      </c>
      <c r="J334" t="s">
        <v>28</v>
      </c>
      <c r="K334" t="s">
        <v>44</v>
      </c>
      <c r="L334" t="s">
        <v>51</v>
      </c>
      <c r="M334" t="s">
        <v>22</v>
      </c>
    </row>
    <row r="335" spans="1:13" x14ac:dyDescent="0.3">
      <c r="A335" t="s">
        <v>632</v>
      </c>
      <c r="B335" t="s">
        <v>633</v>
      </c>
      <c r="C335">
        <v>8</v>
      </c>
      <c r="D335" t="s">
        <v>34</v>
      </c>
      <c r="E335" t="s">
        <v>16</v>
      </c>
      <c r="F335" t="s">
        <v>61</v>
      </c>
      <c r="G335" t="s">
        <v>80</v>
      </c>
      <c r="H335">
        <v>81553.05</v>
      </c>
      <c r="I335">
        <v>2</v>
      </c>
      <c r="J335" t="s">
        <v>28</v>
      </c>
      <c r="K335" t="s">
        <v>69</v>
      </c>
      <c r="L335" t="s">
        <v>40</v>
      </c>
      <c r="M335" t="s">
        <v>22</v>
      </c>
    </row>
    <row r="336" spans="1:13" x14ac:dyDescent="0.3">
      <c r="A336" t="s">
        <v>634</v>
      </c>
      <c r="B336" t="s">
        <v>635</v>
      </c>
      <c r="C336">
        <v>63</v>
      </c>
      <c r="D336" t="s">
        <v>15</v>
      </c>
      <c r="E336" t="s">
        <v>25</v>
      </c>
      <c r="F336" t="s">
        <v>26</v>
      </c>
      <c r="G336" t="s">
        <v>36</v>
      </c>
      <c r="H336">
        <v>138562.20000000001</v>
      </c>
      <c r="I336">
        <v>13</v>
      </c>
      <c r="J336" t="s">
        <v>19</v>
      </c>
      <c r="K336" t="s">
        <v>55</v>
      </c>
      <c r="L336" t="s">
        <v>40</v>
      </c>
      <c r="M336" t="s">
        <v>22</v>
      </c>
    </row>
    <row r="337" spans="1:13" x14ac:dyDescent="0.3">
      <c r="A337" t="s">
        <v>636</v>
      </c>
      <c r="B337" t="s">
        <v>395</v>
      </c>
      <c r="C337">
        <v>9</v>
      </c>
      <c r="D337" t="s">
        <v>34</v>
      </c>
      <c r="E337" t="s">
        <v>117</v>
      </c>
      <c r="F337" t="s">
        <v>84</v>
      </c>
      <c r="G337" t="s">
        <v>18</v>
      </c>
      <c r="H337">
        <v>104507.92</v>
      </c>
      <c r="I337">
        <v>7</v>
      </c>
      <c r="J337" t="s">
        <v>28</v>
      </c>
      <c r="K337" t="s">
        <v>69</v>
      </c>
      <c r="L337" t="s">
        <v>40</v>
      </c>
      <c r="M337" t="s">
        <v>58</v>
      </c>
    </row>
    <row r="338" spans="1:13" x14ac:dyDescent="0.3">
      <c r="A338" t="s">
        <v>637</v>
      </c>
      <c r="B338" t="s">
        <v>335</v>
      </c>
      <c r="C338">
        <v>67</v>
      </c>
      <c r="D338" t="s">
        <v>15</v>
      </c>
      <c r="E338" t="s">
        <v>16</v>
      </c>
      <c r="F338" t="s">
        <v>79</v>
      </c>
      <c r="G338" t="s">
        <v>27</v>
      </c>
      <c r="H338">
        <v>7508.36</v>
      </c>
      <c r="I338">
        <v>14</v>
      </c>
      <c r="J338" t="s">
        <v>19</v>
      </c>
      <c r="K338" t="s">
        <v>29</v>
      </c>
      <c r="L338" t="s">
        <v>112</v>
      </c>
      <c r="M338" t="s">
        <v>58</v>
      </c>
    </row>
    <row r="339" spans="1:13" x14ac:dyDescent="0.3">
      <c r="A339" t="s">
        <v>638</v>
      </c>
      <c r="B339" t="s">
        <v>639</v>
      </c>
      <c r="C339">
        <v>74</v>
      </c>
      <c r="D339" t="s">
        <v>34</v>
      </c>
      <c r="E339" t="s">
        <v>117</v>
      </c>
      <c r="F339" t="s">
        <v>17</v>
      </c>
      <c r="G339" t="s">
        <v>27</v>
      </c>
      <c r="H339">
        <v>25038.57</v>
      </c>
      <c r="I339">
        <v>6</v>
      </c>
      <c r="J339" t="s">
        <v>19</v>
      </c>
      <c r="K339" t="s">
        <v>74</v>
      </c>
      <c r="L339" t="s">
        <v>21</v>
      </c>
      <c r="M339" t="s">
        <v>31</v>
      </c>
    </row>
    <row r="340" spans="1:13" x14ac:dyDescent="0.3">
      <c r="A340" t="s">
        <v>640</v>
      </c>
      <c r="B340" t="s">
        <v>628</v>
      </c>
      <c r="C340">
        <v>76</v>
      </c>
      <c r="D340" t="s">
        <v>34</v>
      </c>
      <c r="E340" t="s">
        <v>35</v>
      </c>
      <c r="F340" t="s">
        <v>17</v>
      </c>
      <c r="G340" t="s">
        <v>18</v>
      </c>
      <c r="H340">
        <v>41220.21</v>
      </c>
      <c r="I340">
        <v>5</v>
      </c>
      <c r="J340" t="s">
        <v>19</v>
      </c>
      <c r="K340" t="s">
        <v>20</v>
      </c>
      <c r="L340" t="s">
        <v>51</v>
      </c>
      <c r="M340" t="s">
        <v>31</v>
      </c>
    </row>
    <row r="341" spans="1:13" x14ac:dyDescent="0.3">
      <c r="A341" t="s">
        <v>641</v>
      </c>
      <c r="B341" t="s">
        <v>642</v>
      </c>
      <c r="C341">
        <v>46</v>
      </c>
      <c r="D341" t="s">
        <v>15</v>
      </c>
      <c r="E341" t="s">
        <v>16</v>
      </c>
      <c r="F341" t="s">
        <v>79</v>
      </c>
      <c r="G341" t="s">
        <v>43</v>
      </c>
      <c r="H341">
        <v>23736.87</v>
      </c>
      <c r="I341">
        <v>12</v>
      </c>
      <c r="J341" t="s">
        <v>28</v>
      </c>
      <c r="K341" t="s">
        <v>20</v>
      </c>
      <c r="L341" t="s">
        <v>21</v>
      </c>
      <c r="M341" t="s">
        <v>22</v>
      </c>
    </row>
    <row r="342" spans="1:13" x14ac:dyDescent="0.3">
      <c r="A342" t="s">
        <v>643</v>
      </c>
      <c r="B342" t="s">
        <v>644</v>
      </c>
      <c r="C342">
        <v>71</v>
      </c>
      <c r="D342" t="s">
        <v>34</v>
      </c>
      <c r="E342" t="s">
        <v>64</v>
      </c>
      <c r="F342" t="s">
        <v>89</v>
      </c>
      <c r="G342" t="s">
        <v>43</v>
      </c>
      <c r="H342">
        <v>7862.79</v>
      </c>
      <c r="I342">
        <v>11</v>
      </c>
      <c r="J342" t="s">
        <v>28</v>
      </c>
      <c r="K342" t="s">
        <v>69</v>
      </c>
      <c r="L342" t="s">
        <v>30</v>
      </c>
      <c r="M342" t="s">
        <v>22</v>
      </c>
    </row>
    <row r="343" spans="1:13" x14ac:dyDescent="0.3">
      <c r="A343" t="s">
        <v>645</v>
      </c>
      <c r="B343" t="s">
        <v>562</v>
      </c>
      <c r="C343">
        <v>72</v>
      </c>
      <c r="D343" t="s">
        <v>15</v>
      </c>
      <c r="E343" t="s">
        <v>64</v>
      </c>
      <c r="F343" t="s">
        <v>26</v>
      </c>
      <c r="G343" t="s">
        <v>27</v>
      </c>
      <c r="H343">
        <v>50570.18</v>
      </c>
      <c r="I343">
        <v>13</v>
      </c>
      <c r="J343" t="s">
        <v>19</v>
      </c>
      <c r="K343" t="s">
        <v>74</v>
      </c>
      <c r="L343" t="s">
        <v>21</v>
      </c>
      <c r="M343" t="s">
        <v>58</v>
      </c>
    </row>
    <row r="344" spans="1:13" x14ac:dyDescent="0.3">
      <c r="A344" t="s">
        <v>646</v>
      </c>
      <c r="B344" t="s">
        <v>647</v>
      </c>
      <c r="C344">
        <v>27</v>
      </c>
      <c r="D344" t="s">
        <v>15</v>
      </c>
      <c r="E344" t="s">
        <v>64</v>
      </c>
      <c r="F344" t="s">
        <v>26</v>
      </c>
      <c r="G344" t="s">
        <v>27</v>
      </c>
      <c r="H344">
        <v>58868.25</v>
      </c>
      <c r="I344">
        <v>1</v>
      </c>
      <c r="J344" t="s">
        <v>28</v>
      </c>
      <c r="K344" t="s">
        <v>74</v>
      </c>
      <c r="L344" t="s">
        <v>21</v>
      </c>
      <c r="M344" t="s">
        <v>22</v>
      </c>
    </row>
    <row r="345" spans="1:13" x14ac:dyDescent="0.3">
      <c r="A345" t="s">
        <v>648</v>
      </c>
      <c r="B345" t="s">
        <v>649</v>
      </c>
      <c r="C345">
        <v>56</v>
      </c>
      <c r="D345" t="s">
        <v>15</v>
      </c>
      <c r="E345" t="s">
        <v>16</v>
      </c>
      <c r="F345" t="s">
        <v>89</v>
      </c>
      <c r="G345" t="s">
        <v>36</v>
      </c>
      <c r="H345">
        <v>49818.1</v>
      </c>
      <c r="I345">
        <v>13</v>
      </c>
      <c r="J345" t="s">
        <v>28</v>
      </c>
      <c r="K345" t="s">
        <v>55</v>
      </c>
      <c r="L345" t="s">
        <v>30</v>
      </c>
      <c r="M345" t="s">
        <v>22</v>
      </c>
    </row>
    <row r="346" spans="1:13" x14ac:dyDescent="0.3">
      <c r="A346" t="s">
        <v>650</v>
      </c>
      <c r="B346" t="s">
        <v>651</v>
      </c>
      <c r="C346">
        <v>4</v>
      </c>
      <c r="D346" t="s">
        <v>15</v>
      </c>
      <c r="E346" t="s">
        <v>117</v>
      </c>
      <c r="F346" t="s">
        <v>17</v>
      </c>
      <c r="G346" t="s">
        <v>18</v>
      </c>
      <c r="H346">
        <v>82293.33</v>
      </c>
      <c r="I346">
        <v>7</v>
      </c>
      <c r="J346" t="s">
        <v>28</v>
      </c>
      <c r="K346" t="s">
        <v>50</v>
      </c>
      <c r="L346" t="s">
        <v>51</v>
      </c>
      <c r="M346" t="s">
        <v>31</v>
      </c>
    </row>
    <row r="347" spans="1:13" x14ac:dyDescent="0.3">
      <c r="A347" t="s">
        <v>652</v>
      </c>
      <c r="B347" t="s">
        <v>653</v>
      </c>
      <c r="C347">
        <v>4</v>
      </c>
      <c r="D347" t="s">
        <v>34</v>
      </c>
      <c r="E347" t="s">
        <v>16</v>
      </c>
      <c r="F347" t="s">
        <v>79</v>
      </c>
      <c r="G347" t="s">
        <v>43</v>
      </c>
      <c r="H347">
        <v>147733.26999999999</v>
      </c>
      <c r="I347">
        <v>8</v>
      </c>
      <c r="J347" t="s">
        <v>28</v>
      </c>
      <c r="K347" t="s">
        <v>74</v>
      </c>
      <c r="L347" t="s">
        <v>40</v>
      </c>
      <c r="M347" t="s">
        <v>31</v>
      </c>
    </row>
    <row r="348" spans="1:13" x14ac:dyDescent="0.3">
      <c r="A348" t="s">
        <v>654</v>
      </c>
      <c r="B348" t="s">
        <v>246</v>
      </c>
      <c r="C348">
        <v>47</v>
      </c>
      <c r="D348" t="s">
        <v>34</v>
      </c>
      <c r="E348" t="s">
        <v>25</v>
      </c>
      <c r="F348" t="s">
        <v>17</v>
      </c>
      <c r="G348" t="s">
        <v>80</v>
      </c>
      <c r="H348">
        <v>116271.76</v>
      </c>
      <c r="I348">
        <v>8</v>
      </c>
      <c r="J348" t="s">
        <v>19</v>
      </c>
      <c r="K348" t="s">
        <v>69</v>
      </c>
      <c r="L348" t="s">
        <v>112</v>
      </c>
      <c r="M348" t="s">
        <v>22</v>
      </c>
    </row>
    <row r="349" spans="1:13" x14ac:dyDescent="0.3">
      <c r="A349" t="s">
        <v>655</v>
      </c>
      <c r="B349" t="s">
        <v>516</v>
      </c>
      <c r="C349">
        <v>52</v>
      </c>
      <c r="D349" t="s">
        <v>15</v>
      </c>
      <c r="E349" t="s">
        <v>83</v>
      </c>
      <c r="F349" t="s">
        <v>26</v>
      </c>
      <c r="G349" t="s">
        <v>54</v>
      </c>
      <c r="H349">
        <v>5081.63</v>
      </c>
      <c r="I349">
        <v>5</v>
      </c>
      <c r="J349" t="s">
        <v>19</v>
      </c>
      <c r="K349" t="s">
        <v>74</v>
      </c>
      <c r="L349" t="s">
        <v>51</v>
      </c>
      <c r="M349" t="s">
        <v>22</v>
      </c>
    </row>
    <row r="350" spans="1:13" x14ac:dyDescent="0.3">
      <c r="A350" t="s">
        <v>656</v>
      </c>
      <c r="B350" t="s">
        <v>657</v>
      </c>
      <c r="C350">
        <v>13</v>
      </c>
      <c r="D350" t="s">
        <v>34</v>
      </c>
      <c r="E350" t="s">
        <v>83</v>
      </c>
      <c r="F350" t="s">
        <v>89</v>
      </c>
      <c r="G350" t="s">
        <v>18</v>
      </c>
      <c r="H350">
        <v>60608.12</v>
      </c>
      <c r="I350">
        <v>9</v>
      </c>
      <c r="J350" t="s">
        <v>28</v>
      </c>
      <c r="K350" t="s">
        <v>20</v>
      </c>
      <c r="L350" t="s">
        <v>51</v>
      </c>
      <c r="M350" t="s">
        <v>31</v>
      </c>
    </row>
    <row r="351" spans="1:13" x14ac:dyDescent="0.3">
      <c r="A351" t="s">
        <v>658</v>
      </c>
      <c r="B351" t="s">
        <v>659</v>
      </c>
      <c r="C351">
        <v>82</v>
      </c>
      <c r="D351" t="s">
        <v>15</v>
      </c>
      <c r="E351" t="s">
        <v>117</v>
      </c>
      <c r="F351" t="s">
        <v>26</v>
      </c>
      <c r="G351" t="s">
        <v>27</v>
      </c>
      <c r="H351">
        <v>110211.94</v>
      </c>
      <c r="I351">
        <v>15</v>
      </c>
      <c r="J351" t="s">
        <v>19</v>
      </c>
      <c r="K351" t="s">
        <v>55</v>
      </c>
      <c r="L351" t="s">
        <v>45</v>
      </c>
      <c r="M351" t="s">
        <v>58</v>
      </c>
    </row>
    <row r="352" spans="1:13" x14ac:dyDescent="0.3">
      <c r="A352" t="s">
        <v>660</v>
      </c>
      <c r="B352" t="s">
        <v>661</v>
      </c>
      <c r="C352">
        <v>87</v>
      </c>
      <c r="D352" t="s">
        <v>15</v>
      </c>
      <c r="E352" t="s">
        <v>117</v>
      </c>
      <c r="F352" t="s">
        <v>61</v>
      </c>
      <c r="G352" t="s">
        <v>18</v>
      </c>
      <c r="H352">
        <v>75956.69</v>
      </c>
      <c r="I352">
        <v>15</v>
      </c>
      <c r="J352" t="s">
        <v>19</v>
      </c>
      <c r="K352" t="s">
        <v>74</v>
      </c>
      <c r="L352" t="s">
        <v>45</v>
      </c>
      <c r="M352" t="s">
        <v>31</v>
      </c>
    </row>
    <row r="353" spans="1:13" x14ac:dyDescent="0.3">
      <c r="A353" t="s">
        <v>662</v>
      </c>
      <c r="B353" t="s">
        <v>663</v>
      </c>
      <c r="C353">
        <v>84</v>
      </c>
      <c r="D353" t="s">
        <v>34</v>
      </c>
      <c r="E353" t="s">
        <v>117</v>
      </c>
      <c r="F353" t="s">
        <v>17</v>
      </c>
      <c r="G353" t="s">
        <v>43</v>
      </c>
      <c r="H353">
        <v>118159.03999999999</v>
      </c>
      <c r="I353">
        <v>19</v>
      </c>
      <c r="J353" t="s">
        <v>19</v>
      </c>
      <c r="K353" t="s">
        <v>20</v>
      </c>
      <c r="L353" t="s">
        <v>40</v>
      </c>
      <c r="M353" t="s">
        <v>58</v>
      </c>
    </row>
    <row r="354" spans="1:13" x14ac:dyDescent="0.3">
      <c r="A354" t="s">
        <v>664</v>
      </c>
      <c r="B354" t="s">
        <v>628</v>
      </c>
      <c r="C354">
        <v>24</v>
      </c>
      <c r="D354" t="s">
        <v>15</v>
      </c>
      <c r="E354" t="s">
        <v>117</v>
      </c>
      <c r="F354" t="s">
        <v>26</v>
      </c>
      <c r="G354" t="s">
        <v>36</v>
      </c>
      <c r="H354">
        <v>127578.33</v>
      </c>
      <c r="I354">
        <v>19</v>
      </c>
      <c r="J354" t="s">
        <v>28</v>
      </c>
      <c r="K354" t="s">
        <v>50</v>
      </c>
      <c r="L354" t="s">
        <v>40</v>
      </c>
      <c r="M354" t="s">
        <v>22</v>
      </c>
    </row>
    <row r="355" spans="1:13" x14ac:dyDescent="0.3">
      <c r="A355" t="s">
        <v>665</v>
      </c>
      <c r="B355" t="s">
        <v>381</v>
      </c>
      <c r="C355">
        <v>77</v>
      </c>
      <c r="D355" t="s">
        <v>15</v>
      </c>
      <c r="E355" t="s">
        <v>64</v>
      </c>
      <c r="F355" t="s">
        <v>89</v>
      </c>
      <c r="G355" t="s">
        <v>36</v>
      </c>
      <c r="H355">
        <v>134105.92000000001</v>
      </c>
      <c r="I355">
        <v>19</v>
      </c>
      <c r="J355" t="s">
        <v>28</v>
      </c>
      <c r="K355" t="s">
        <v>20</v>
      </c>
      <c r="L355" t="s">
        <v>40</v>
      </c>
      <c r="M355" t="s">
        <v>22</v>
      </c>
    </row>
    <row r="356" spans="1:13" x14ac:dyDescent="0.3">
      <c r="A356" t="s">
        <v>666</v>
      </c>
      <c r="B356" t="s">
        <v>667</v>
      </c>
      <c r="C356">
        <v>31</v>
      </c>
      <c r="D356" t="s">
        <v>34</v>
      </c>
      <c r="E356" t="s">
        <v>16</v>
      </c>
      <c r="F356" t="s">
        <v>79</v>
      </c>
      <c r="G356" t="s">
        <v>27</v>
      </c>
      <c r="H356">
        <v>47131.96</v>
      </c>
      <c r="I356">
        <v>2</v>
      </c>
      <c r="J356" t="s">
        <v>28</v>
      </c>
      <c r="K356" t="s">
        <v>55</v>
      </c>
      <c r="L356" t="s">
        <v>51</v>
      </c>
      <c r="M356" t="s">
        <v>22</v>
      </c>
    </row>
    <row r="357" spans="1:13" x14ac:dyDescent="0.3">
      <c r="A357" t="s">
        <v>668</v>
      </c>
      <c r="B357" t="s">
        <v>203</v>
      </c>
      <c r="C357">
        <v>74</v>
      </c>
      <c r="D357" t="s">
        <v>34</v>
      </c>
      <c r="E357" t="s">
        <v>35</v>
      </c>
      <c r="F357" t="s">
        <v>79</v>
      </c>
      <c r="G357" t="s">
        <v>18</v>
      </c>
      <c r="H357">
        <v>81691.11</v>
      </c>
      <c r="I357">
        <v>6</v>
      </c>
      <c r="J357" t="s">
        <v>28</v>
      </c>
      <c r="K357" t="s">
        <v>74</v>
      </c>
      <c r="L357" t="s">
        <v>40</v>
      </c>
      <c r="M357" t="s">
        <v>31</v>
      </c>
    </row>
    <row r="358" spans="1:13" x14ac:dyDescent="0.3">
      <c r="A358" t="s">
        <v>669</v>
      </c>
      <c r="B358" t="s">
        <v>342</v>
      </c>
      <c r="C358">
        <v>56</v>
      </c>
      <c r="D358" t="s">
        <v>34</v>
      </c>
      <c r="E358" t="s">
        <v>25</v>
      </c>
      <c r="F358" t="s">
        <v>79</v>
      </c>
      <c r="G358" t="s">
        <v>43</v>
      </c>
      <c r="H358">
        <v>33478.230000000003</v>
      </c>
      <c r="I358">
        <v>13</v>
      </c>
      <c r="J358" t="s">
        <v>28</v>
      </c>
      <c r="K358" t="s">
        <v>29</v>
      </c>
      <c r="L358" t="s">
        <v>51</v>
      </c>
      <c r="M358" t="s">
        <v>31</v>
      </c>
    </row>
    <row r="359" spans="1:13" x14ac:dyDescent="0.3">
      <c r="A359" t="s">
        <v>670</v>
      </c>
      <c r="B359" t="s">
        <v>671</v>
      </c>
      <c r="C359">
        <v>86</v>
      </c>
      <c r="D359" t="s">
        <v>15</v>
      </c>
      <c r="E359" t="s">
        <v>117</v>
      </c>
      <c r="F359" t="s">
        <v>26</v>
      </c>
      <c r="G359" t="s">
        <v>43</v>
      </c>
      <c r="H359">
        <v>132422.19</v>
      </c>
      <c r="I359">
        <v>7</v>
      </c>
      <c r="J359" t="s">
        <v>19</v>
      </c>
      <c r="K359" t="s">
        <v>44</v>
      </c>
      <c r="L359" t="s">
        <v>40</v>
      </c>
      <c r="M359" t="s">
        <v>58</v>
      </c>
    </row>
    <row r="360" spans="1:13" x14ac:dyDescent="0.3">
      <c r="A360" t="s">
        <v>672</v>
      </c>
      <c r="B360" t="s">
        <v>673</v>
      </c>
      <c r="C360">
        <v>29</v>
      </c>
      <c r="D360" t="s">
        <v>15</v>
      </c>
      <c r="E360" t="s">
        <v>16</v>
      </c>
      <c r="F360" t="s">
        <v>17</v>
      </c>
      <c r="G360" t="s">
        <v>36</v>
      </c>
      <c r="H360">
        <v>98440.74</v>
      </c>
      <c r="I360">
        <v>13</v>
      </c>
      <c r="J360" t="s">
        <v>28</v>
      </c>
      <c r="K360" t="s">
        <v>50</v>
      </c>
      <c r="L360" t="s">
        <v>51</v>
      </c>
      <c r="M360" t="s">
        <v>58</v>
      </c>
    </row>
    <row r="361" spans="1:13" x14ac:dyDescent="0.3">
      <c r="A361" t="s">
        <v>674</v>
      </c>
      <c r="B361" t="s">
        <v>675</v>
      </c>
      <c r="C361">
        <v>37</v>
      </c>
      <c r="D361" t="s">
        <v>34</v>
      </c>
      <c r="E361" t="s">
        <v>117</v>
      </c>
      <c r="F361" t="s">
        <v>84</v>
      </c>
      <c r="G361" t="s">
        <v>43</v>
      </c>
      <c r="H361">
        <v>141507.45000000001</v>
      </c>
      <c r="I361">
        <v>13</v>
      </c>
      <c r="J361" t="s">
        <v>28</v>
      </c>
      <c r="K361" t="s">
        <v>55</v>
      </c>
      <c r="L361" t="s">
        <v>40</v>
      </c>
      <c r="M361" t="s">
        <v>58</v>
      </c>
    </row>
    <row r="362" spans="1:13" x14ac:dyDescent="0.3">
      <c r="A362" t="s">
        <v>676</v>
      </c>
      <c r="B362" t="s">
        <v>677</v>
      </c>
      <c r="C362">
        <v>13</v>
      </c>
      <c r="D362" t="s">
        <v>15</v>
      </c>
      <c r="E362" t="s">
        <v>25</v>
      </c>
      <c r="F362" t="s">
        <v>89</v>
      </c>
      <c r="G362" t="s">
        <v>80</v>
      </c>
      <c r="H362">
        <v>149561.71</v>
      </c>
      <c r="I362">
        <v>19</v>
      </c>
      <c r="J362" t="s">
        <v>28</v>
      </c>
      <c r="K362" t="s">
        <v>74</v>
      </c>
      <c r="L362" t="s">
        <v>30</v>
      </c>
      <c r="M362" t="s">
        <v>58</v>
      </c>
    </row>
    <row r="363" spans="1:13" x14ac:dyDescent="0.3">
      <c r="A363" t="s">
        <v>678</v>
      </c>
      <c r="B363" t="s">
        <v>418</v>
      </c>
      <c r="C363">
        <v>49</v>
      </c>
      <c r="D363" t="s">
        <v>34</v>
      </c>
      <c r="E363" t="s">
        <v>83</v>
      </c>
      <c r="F363" t="s">
        <v>61</v>
      </c>
      <c r="G363" t="s">
        <v>54</v>
      </c>
      <c r="H363">
        <v>84003</v>
      </c>
      <c r="I363">
        <v>20</v>
      </c>
      <c r="J363" t="s">
        <v>19</v>
      </c>
      <c r="K363" t="s">
        <v>39</v>
      </c>
      <c r="L363" t="s">
        <v>40</v>
      </c>
      <c r="M363" t="s">
        <v>31</v>
      </c>
    </row>
    <row r="364" spans="1:13" x14ac:dyDescent="0.3">
      <c r="A364" t="s">
        <v>679</v>
      </c>
      <c r="B364" t="s">
        <v>338</v>
      </c>
      <c r="C364">
        <v>2</v>
      </c>
      <c r="D364" t="s">
        <v>15</v>
      </c>
      <c r="E364" t="s">
        <v>117</v>
      </c>
      <c r="F364" t="s">
        <v>79</v>
      </c>
      <c r="G364" t="s">
        <v>18</v>
      </c>
      <c r="H364">
        <v>118014.72</v>
      </c>
      <c r="I364">
        <v>11</v>
      </c>
      <c r="J364" t="s">
        <v>28</v>
      </c>
      <c r="K364" t="s">
        <v>29</v>
      </c>
      <c r="L364" t="s">
        <v>21</v>
      </c>
      <c r="M364" t="s">
        <v>58</v>
      </c>
    </row>
    <row r="365" spans="1:13" x14ac:dyDescent="0.3">
      <c r="A365" t="s">
        <v>680</v>
      </c>
      <c r="B365" t="s">
        <v>534</v>
      </c>
      <c r="C365">
        <v>3</v>
      </c>
      <c r="D365" t="s">
        <v>15</v>
      </c>
      <c r="E365" t="s">
        <v>16</v>
      </c>
      <c r="F365" t="s">
        <v>79</v>
      </c>
      <c r="G365" t="s">
        <v>27</v>
      </c>
      <c r="H365">
        <v>126417.18</v>
      </c>
      <c r="I365">
        <v>1</v>
      </c>
      <c r="J365" t="s">
        <v>19</v>
      </c>
      <c r="K365" t="s">
        <v>29</v>
      </c>
      <c r="L365" t="s">
        <v>30</v>
      </c>
      <c r="M365" t="s">
        <v>22</v>
      </c>
    </row>
    <row r="366" spans="1:13" x14ac:dyDescent="0.3">
      <c r="A366" t="s">
        <v>681</v>
      </c>
      <c r="B366" t="s">
        <v>426</v>
      </c>
      <c r="C366">
        <v>7</v>
      </c>
      <c r="D366" t="s">
        <v>34</v>
      </c>
      <c r="E366" t="s">
        <v>35</v>
      </c>
      <c r="F366" t="s">
        <v>61</v>
      </c>
      <c r="G366" t="s">
        <v>36</v>
      </c>
      <c r="H366">
        <v>141942.9</v>
      </c>
      <c r="I366">
        <v>7</v>
      </c>
      <c r="J366" t="s">
        <v>19</v>
      </c>
      <c r="K366" t="s">
        <v>74</v>
      </c>
      <c r="L366" t="s">
        <v>40</v>
      </c>
      <c r="M366" t="s">
        <v>58</v>
      </c>
    </row>
    <row r="367" spans="1:13" x14ac:dyDescent="0.3">
      <c r="A367" t="s">
        <v>682</v>
      </c>
      <c r="B367" t="s">
        <v>170</v>
      </c>
      <c r="C367">
        <v>20</v>
      </c>
      <c r="D367" t="s">
        <v>15</v>
      </c>
      <c r="E367" t="s">
        <v>35</v>
      </c>
      <c r="F367" t="s">
        <v>26</v>
      </c>
      <c r="G367" t="s">
        <v>27</v>
      </c>
      <c r="H367">
        <v>56221.48</v>
      </c>
      <c r="I367">
        <v>18</v>
      </c>
      <c r="J367" t="s">
        <v>19</v>
      </c>
      <c r="K367" t="s">
        <v>55</v>
      </c>
      <c r="L367" t="s">
        <v>51</v>
      </c>
      <c r="M367" t="s">
        <v>22</v>
      </c>
    </row>
    <row r="368" spans="1:13" x14ac:dyDescent="0.3">
      <c r="A368" t="s">
        <v>683</v>
      </c>
      <c r="B368" t="s">
        <v>565</v>
      </c>
      <c r="C368">
        <v>28</v>
      </c>
      <c r="D368" t="s">
        <v>15</v>
      </c>
      <c r="E368" t="s">
        <v>35</v>
      </c>
      <c r="F368" t="s">
        <v>84</v>
      </c>
      <c r="G368" t="s">
        <v>54</v>
      </c>
      <c r="H368">
        <v>123523.69</v>
      </c>
      <c r="I368">
        <v>19</v>
      </c>
      <c r="J368" t="s">
        <v>28</v>
      </c>
      <c r="K368" t="s">
        <v>44</v>
      </c>
      <c r="L368" t="s">
        <v>51</v>
      </c>
      <c r="M368" t="s">
        <v>58</v>
      </c>
    </row>
    <row r="369" spans="1:13" x14ac:dyDescent="0.3">
      <c r="A369" t="s">
        <v>684</v>
      </c>
      <c r="B369" t="s">
        <v>685</v>
      </c>
      <c r="C369">
        <v>63</v>
      </c>
      <c r="D369" t="s">
        <v>34</v>
      </c>
      <c r="E369" t="s">
        <v>35</v>
      </c>
      <c r="F369" t="s">
        <v>79</v>
      </c>
      <c r="G369" t="s">
        <v>18</v>
      </c>
      <c r="H369">
        <v>149377.73000000001</v>
      </c>
      <c r="I369">
        <v>19</v>
      </c>
      <c r="J369" t="s">
        <v>19</v>
      </c>
      <c r="K369" t="s">
        <v>29</v>
      </c>
      <c r="L369" t="s">
        <v>45</v>
      </c>
      <c r="M369" t="s">
        <v>31</v>
      </c>
    </row>
    <row r="370" spans="1:13" x14ac:dyDescent="0.3">
      <c r="A370" t="s">
        <v>686</v>
      </c>
      <c r="B370" t="s">
        <v>687</v>
      </c>
      <c r="C370">
        <v>7</v>
      </c>
      <c r="D370" t="s">
        <v>15</v>
      </c>
      <c r="E370" t="s">
        <v>117</v>
      </c>
      <c r="F370" t="s">
        <v>79</v>
      </c>
      <c r="G370" t="s">
        <v>18</v>
      </c>
      <c r="H370">
        <v>1528.26</v>
      </c>
      <c r="I370">
        <v>16</v>
      </c>
      <c r="J370" t="s">
        <v>19</v>
      </c>
      <c r="K370" t="s">
        <v>50</v>
      </c>
      <c r="L370" t="s">
        <v>45</v>
      </c>
      <c r="M370" t="s">
        <v>22</v>
      </c>
    </row>
    <row r="371" spans="1:13" x14ac:dyDescent="0.3">
      <c r="A371" t="s">
        <v>688</v>
      </c>
      <c r="B371" t="s">
        <v>148</v>
      </c>
      <c r="C371">
        <v>16</v>
      </c>
      <c r="D371" t="s">
        <v>34</v>
      </c>
      <c r="E371" t="s">
        <v>35</v>
      </c>
      <c r="F371" t="s">
        <v>17</v>
      </c>
      <c r="G371" t="s">
        <v>27</v>
      </c>
      <c r="H371">
        <v>130018.88</v>
      </c>
      <c r="I371">
        <v>19</v>
      </c>
      <c r="J371" t="s">
        <v>19</v>
      </c>
      <c r="K371" t="s">
        <v>55</v>
      </c>
      <c r="L371" t="s">
        <v>112</v>
      </c>
      <c r="M371" t="s">
        <v>58</v>
      </c>
    </row>
    <row r="372" spans="1:13" x14ac:dyDescent="0.3">
      <c r="A372" t="s">
        <v>689</v>
      </c>
      <c r="B372" t="s">
        <v>690</v>
      </c>
      <c r="C372">
        <v>61</v>
      </c>
      <c r="D372" t="s">
        <v>15</v>
      </c>
      <c r="E372" t="s">
        <v>16</v>
      </c>
      <c r="F372" t="s">
        <v>61</v>
      </c>
      <c r="G372" t="s">
        <v>36</v>
      </c>
      <c r="H372">
        <v>11543.94</v>
      </c>
      <c r="I372">
        <v>3</v>
      </c>
      <c r="J372" t="s">
        <v>28</v>
      </c>
      <c r="K372" t="s">
        <v>55</v>
      </c>
      <c r="L372" t="s">
        <v>51</v>
      </c>
      <c r="M372" t="s">
        <v>58</v>
      </c>
    </row>
    <row r="373" spans="1:13" x14ac:dyDescent="0.3">
      <c r="A373" t="s">
        <v>691</v>
      </c>
      <c r="B373" t="s">
        <v>139</v>
      </c>
      <c r="C373">
        <v>51</v>
      </c>
      <c r="D373" t="s">
        <v>34</v>
      </c>
      <c r="E373" t="s">
        <v>83</v>
      </c>
      <c r="F373" t="s">
        <v>89</v>
      </c>
      <c r="G373" t="s">
        <v>43</v>
      </c>
      <c r="H373">
        <v>60640.94</v>
      </c>
      <c r="I373">
        <v>1</v>
      </c>
      <c r="J373" t="s">
        <v>28</v>
      </c>
      <c r="K373" t="s">
        <v>74</v>
      </c>
      <c r="L373" t="s">
        <v>21</v>
      </c>
      <c r="M373" t="s">
        <v>31</v>
      </c>
    </row>
    <row r="374" spans="1:13" x14ac:dyDescent="0.3">
      <c r="A374" t="s">
        <v>692</v>
      </c>
      <c r="B374" t="s">
        <v>693</v>
      </c>
      <c r="C374">
        <v>54</v>
      </c>
      <c r="D374" t="s">
        <v>34</v>
      </c>
      <c r="E374" t="s">
        <v>35</v>
      </c>
      <c r="F374" t="s">
        <v>26</v>
      </c>
      <c r="G374" t="s">
        <v>54</v>
      </c>
      <c r="H374">
        <v>96866.23</v>
      </c>
      <c r="I374">
        <v>16</v>
      </c>
      <c r="J374" t="s">
        <v>19</v>
      </c>
      <c r="K374" t="s">
        <v>50</v>
      </c>
      <c r="L374" t="s">
        <v>21</v>
      </c>
      <c r="M374" t="s">
        <v>31</v>
      </c>
    </row>
    <row r="375" spans="1:13" x14ac:dyDescent="0.3">
      <c r="A375" t="s">
        <v>694</v>
      </c>
      <c r="B375" t="s">
        <v>86</v>
      </c>
      <c r="C375">
        <v>42</v>
      </c>
      <c r="D375" t="s">
        <v>34</v>
      </c>
      <c r="E375" t="s">
        <v>35</v>
      </c>
      <c r="F375" t="s">
        <v>17</v>
      </c>
      <c r="G375" t="s">
        <v>43</v>
      </c>
      <c r="H375">
        <v>14216.28</v>
      </c>
      <c r="I375">
        <v>18</v>
      </c>
      <c r="J375" t="s">
        <v>19</v>
      </c>
      <c r="K375" t="s">
        <v>39</v>
      </c>
      <c r="L375" t="s">
        <v>45</v>
      </c>
      <c r="M375" t="s">
        <v>22</v>
      </c>
    </row>
    <row r="376" spans="1:13" x14ac:dyDescent="0.3">
      <c r="A376" t="s">
        <v>695</v>
      </c>
      <c r="B376" t="s">
        <v>696</v>
      </c>
      <c r="C376">
        <v>75</v>
      </c>
      <c r="D376" t="s">
        <v>15</v>
      </c>
      <c r="E376" t="s">
        <v>117</v>
      </c>
      <c r="F376" t="s">
        <v>61</v>
      </c>
      <c r="G376" t="s">
        <v>43</v>
      </c>
      <c r="H376">
        <v>58936.63</v>
      </c>
      <c r="I376">
        <v>17</v>
      </c>
      <c r="J376" t="s">
        <v>28</v>
      </c>
      <c r="K376" t="s">
        <v>44</v>
      </c>
      <c r="L376" t="s">
        <v>21</v>
      </c>
      <c r="M376" t="s">
        <v>22</v>
      </c>
    </row>
    <row r="377" spans="1:13" x14ac:dyDescent="0.3">
      <c r="A377" t="s">
        <v>697</v>
      </c>
      <c r="B377" t="s">
        <v>322</v>
      </c>
      <c r="C377">
        <v>90</v>
      </c>
      <c r="D377" t="s">
        <v>15</v>
      </c>
      <c r="E377" t="s">
        <v>117</v>
      </c>
      <c r="F377" t="s">
        <v>89</v>
      </c>
      <c r="G377" t="s">
        <v>80</v>
      </c>
      <c r="H377">
        <v>30062.720000000001</v>
      </c>
      <c r="I377">
        <v>5</v>
      </c>
      <c r="J377" t="s">
        <v>28</v>
      </c>
      <c r="K377" t="s">
        <v>20</v>
      </c>
      <c r="L377" t="s">
        <v>45</v>
      </c>
      <c r="M377" t="s">
        <v>22</v>
      </c>
    </row>
    <row r="378" spans="1:13" x14ac:dyDescent="0.3">
      <c r="A378" t="s">
        <v>698</v>
      </c>
      <c r="B378" t="s">
        <v>639</v>
      </c>
      <c r="C378">
        <v>26</v>
      </c>
      <c r="D378" t="s">
        <v>34</v>
      </c>
      <c r="E378" t="s">
        <v>83</v>
      </c>
      <c r="F378" t="s">
        <v>79</v>
      </c>
      <c r="G378" t="s">
        <v>80</v>
      </c>
      <c r="H378">
        <v>93009.29</v>
      </c>
      <c r="I378">
        <v>3</v>
      </c>
      <c r="J378" t="s">
        <v>19</v>
      </c>
      <c r="K378" t="s">
        <v>69</v>
      </c>
      <c r="L378" t="s">
        <v>112</v>
      </c>
      <c r="M378" t="s">
        <v>58</v>
      </c>
    </row>
    <row r="379" spans="1:13" x14ac:dyDescent="0.3">
      <c r="A379" t="s">
        <v>699</v>
      </c>
      <c r="B379" t="s">
        <v>700</v>
      </c>
      <c r="C379">
        <v>75</v>
      </c>
      <c r="D379" t="s">
        <v>15</v>
      </c>
      <c r="E379" t="s">
        <v>117</v>
      </c>
      <c r="F379" t="s">
        <v>89</v>
      </c>
      <c r="G379" t="s">
        <v>43</v>
      </c>
      <c r="H379">
        <v>61431.81</v>
      </c>
      <c r="I379">
        <v>8</v>
      </c>
      <c r="J379" t="s">
        <v>28</v>
      </c>
      <c r="K379" t="s">
        <v>50</v>
      </c>
      <c r="L379" t="s">
        <v>51</v>
      </c>
      <c r="M379" t="s">
        <v>58</v>
      </c>
    </row>
    <row r="380" spans="1:13" x14ac:dyDescent="0.3">
      <c r="A380" t="s">
        <v>701</v>
      </c>
      <c r="B380" t="s">
        <v>390</v>
      </c>
      <c r="C380">
        <v>65</v>
      </c>
      <c r="D380" t="s">
        <v>34</v>
      </c>
      <c r="E380" t="s">
        <v>25</v>
      </c>
      <c r="F380" t="s">
        <v>89</v>
      </c>
      <c r="G380" t="s">
        <v>54</v>
      </c>
      <c r="H380">
        <v>98525.25</v>
      </c>
      <c r="I380">
        <v>17</v>
      </c>
      <c r="J380" t="s">
        <v>19</v>
      </c>
      <c r="K380" t="s">
        <v>74</v>
      </c>
      <c r="L380" t="s">
        <v>30</v>
      </c>
      <c r="M380" t="s">
        <v>58</v>
      </c>
    </row>
    <row r="381" spans="1:13" x14ac:dyDescent="0.3">
      <c r="A381" t="s">
        <v>702</v>
      </c>
      <c r="B381" t="s">
        <v>703</v>
      </c>
      <c r="C381">
        <v>18</v>
      </c>
      <c r="D381" t="s">
        <v>15</v>
      </c>
      <c r="E381" t="s">
        <v>16</v>
      </c>
      <c r="F381" t="s">
        <v>26</v>
      </c>
      <c r="G381" t="s">
        <v>27</v>
      </c>
      <c r="H381">
        <v>110139.02</v>
      </c>
      <c r="I381">
        <v>15</v>
      </c>
      <c r="J381" t="s">
        <v>19</v>
      </c>
      <c r="K381" t="s">
        <v>50</v>
      </c>
      <c r="L381" t="s">
        <v>40</v>
      </c>
      <c r="M381" t="s">
        <v>31</v>
      </c>
    </row>
    <row r="382" spans="1:13" x14ac:dyDescent="0.3">
      <c r="A382" t="s">
        <v>704</v>
      </c>
      <c r="B382" t="s">
        <v>705</v>
      </c>
      <c r="C382">
        <v>40</v>
      </c>
      <c r="D382" t="s">
        <v>34</v>
      </c>
      <c r="E382" t="s">
        <v>83</v>
      </c>
      <c r="F382" t="s">
        <v>26</v>
      </c>
      <c r="G382" t="s">
        <v>18</v>
      </c>
      <c r="H382">
        <v>126418.99</v>
      </c>
      <c r="I382">
        <v>16</v>
      </c>
      <c r="J382" t="s">
        <v>28</v>
      </c>
      <c r="K382" t="s">
        <v>50</v>
      </c>
      <c r="L382" t="s">
        <v>45</v>
      </c>
      <c r="M382" t="s">
        <v>31</v>
      </c>
    </row>
    <row r="383" spans="1:13" x14ac:dyDescent="0.3">
      <c r="A383" t="s">
        <v>706</v>
      </c>
      <c r="B383" t="s">
        <v>377</v>
      </c>
      <c r="C383">
        <v>66</v>
      </c>
      <c r="D383" t="s">
        <v>15</v>
      </c>
      <c r="E383" t="s">
        <v>25</v>
      </c>
      <c r="F383" t="s">
        <v>61</v>
      </c>
      <c r="G383" t="s">
        <v>36</v>
      </c>
      <c r="H383">
        <v>73029.08</v>
      </c>
      <c r="I383">
        <v>17</v>
      </c>
      <c r="J383" t="s">
        <v>19</v>
      </c>
      <c r="K383" t="s">
        <v>69</v>
      </c>
      <c r="L383" t="s">
        <v>30</v>
      </c>
      <c r="M383" t="s">
        <v>22</v>
      </c>
    </row>
    <row r="384" spans="1:13" x14ac:dyDescent="0.3">
      <c r="A384" t="s">
        <v>707</v>
      </c>
      <c r="B384" t="s">
        <v>708</v>
      </c>
      <c r="C384">
        <v>23</v>
      </c>
      <c r="D384" t="s">
        <v>34</v>
      </c>
      <c r="E384" t="s">
        <v>16</v>
      </c>
      <c r="F384" t="s">
        <v>17</v>
      </c>
      <c r="G384" t="s">
        <v>27</v>
      </c>
      <c r="H384">
        <v>75129.259999999995</v>
      </c>
      <c r="I384">
        <v>14</v>
      </c>
      <c r="J384" t="s">
        <v>28</v>
      </c>
      <c r="K384" t="s">
        <v>39</v>
      </c>
      <c r="L384" t="s">
        <v>51</v>
      </c>
      <c r="M384" t="s">
        <v>22</v>
      </c>
    </row>
    <row r="385" spans="1:13" x14ac:dyDescent="0.3">
      <c r="A385" t="s">
        <v>709</v>
      </c>
      <c r="B385" t="s">
        <v>596</v>
      </c>
      <c r="C385">
        <v>58</v>
      </c>
      <c r="D385" t="s">
        <v>15</v>
      </c>
      <c r="E385" t="s">
        <v>25</v>
      </c>
      <c r="F385" t="s">
        <v>84</v>
      </c>
      <c r="G385" t="s">
        <v>18</v>
      </c>
      <c r="H385">
        <v>72261.83</v>
      </c>
      <c r="I385">
        <v>12</v>
      </c>
      <c r="J385" t="s">
        <v>28</v>
      </c>
      <c r="K385" t="s">
        <v>69</v>
      </c>
      <c r="L385" t="s">
        <v>45</v>
      </c>
      <c r="M385" t="s">
        <v>22</v>
      </c>
    </row>
    <row r="386" spans="1:13" x14ac:dyDescent="0.3">
      <c r="A386" t="s">
        <v>710</v>
      </c>
      <c r="B386" t="s">
        <v>449</v>
      </c>
      <c r="C386">
        <v>29</v>
      </c>
      <c r="D386" t="s">
        <v>34</v>
      </c>
      <c r="E386" t="s">
        <v>64</v>
      </c>
      <c r="F386" t="s">
        <v>89</v>
      </c>
      <c r="G386" t="s">
        <v>18</v>
      </c>
      <c r="H386">
        <v>3631.77</v>
      </c>
      <c r="I386">
        <v>5</v>
      </c>
      <c r="J386" t="s">
        <v>28</v>
      </c>
      <c r="K386" t="s">
        <v>55</v>
      </c>
      <c r="L386" t="s">
        <v>21</v>
      </c>
      <c r="M386" t="s">
        <v>31</v>
      </c>
    </row>
    <row r="387" spans="1:13" x14ac:dyDescent="0.3">
      <c r="A387" t="s">
        <v>711</v>
      </c>
      <c r="B387" t="s">
        <v>675</v>
      </c>
      <c r="C387">
        <v>44</v>
      </c>
      <c r="D387" t="s">
        <v>15</v>
      </c>
      <c r="E387" t="s">
        <v>64</v>
      </c>
      <c r="F387" t="s">
        <v>79</v>
      </c>
      <c r="G387" t="s">
        <v>18</v>
      </c>
      <c r="H387">
        <v>95343.89</v>
      </c>
      <c r="I387">
        <v>14</v>
      </c>
      <c r="J387" t="s">
        <v>19</v>
      </c>
      <c r="K387" t="s">
        <v>55</v>
      </c>
      <c r="L387" t="s">
        <v>112</v>
      </c>
      <c r="M387" t="s">
        <v>22</v>
      </c>
    </row>
    <row r="388" spans="1:13" x14ac:dyDescent="0.3">
      <c r="A388" t="s">
        <v>712</v>
      </c>
      <c r="B388" t="s">
        <v>713</v>
      </c>
      <c r="C388">
        <v>31</v>
      </c>
      <c r="D388" t="s">
        <v>34</v>
      </c>
      <c r="E388" t="s">
        <v>25</v>
      </c>
      <c r="F388" t="s">
        <v>61</v>
      </c>
      <c r="G388" t="s">
        <v>18</v>
      </c>
      <c r="H388">
        <v>116772.43</v>
      </c>
      <c r="I388">
        <v>8</v>
      </c>
      <c r="J388" t="s">
        <v>19</v>
      </c>
      <c r="K388" t="s">
        <v>50</v>
      </c>
      <c r="L388" t="s">
        <v>112</v>
      </c>
      <c r="M388" t="s">
        <v>22</v>
      </c>
    </row>
    <row r="389" spans="1:13" x14ac:dyDescent="0.3">
      <c r="A389" t="s">
        <v>714</v>
      </c>
      <c r="B389" t="s">
        <v>715</v>
      </c>
      <c r="C389">
        <v>80</v>
      </c>
      <c r="D389" t="s">
        <v>34</v>
      </c>
      <c r="E389" t="s">
        <v>16</v>
      </c>
      <c r="F389" t="s">
        <v>79</v>
      </c>
      <c r="G389" t="s">
        <v>36</v>
      </c>
      <c r="H389">
        <v>49291.79</v>
      </c>
      <c r="I389">
        <v>18</v>
      </c>
      <c r="J389" t="s">
        <v>28</v>
      </c>
      <c r="K389" t="s">
        <v>20</v>
      </c>
      <c r="L389" t="s">
        <v>112</v>
      </c>
      <c r="M389" t="s">
        <v>31</v>
      </c>
    </row>
    <row r="390" spans="1:13" x14ac:dyDescent="0.3">
      <c r="A390" t="s">
        <v>716</v>
      </c>
      <c r="B390" t="s">
        <v>465</v>
      </c>
      <c r="C390">
        <v>77</v>
      </c>
      <c r="D390" t="s">
        <v>15</v>
      </c>
      <c r="E390" t="s">
        <v>16</v>
      </c>
      <c r="F390" t="s">
        <v>84</v>
      </c>
      <c r="G390" t="s">
        <v>36</v>
      </c>
      <c r="H390">
        <v>66181.27</v>
      </c>
      <c r="I390">
        <v>3</v>
      </c>
      <c r="J390" t="s">
        <v>28</v>
      </c>
      <c r="K390" t="s">
        <v>20</v>
      </c>
      <c r="L390" t="s">
        <v>51</v>
      </c>
      <c r="M390" t="s">
        <v>22</v>
      </c>
    </row>
    <row r="391" spans="1:13" x14ac:dyDescent="0.3">
      <c r="A391" t="s">
        <v>717</v>
      </c>
      <c r="B391" t="s">
        <v>240</v>
      </c>
      <c r="C391">
        <v>72</v>
      </c>
      <c r="D391" t="s">
        <v>34</v>
      </c>
      <c r="E391" t="s">
        <v>117</v>
      </c>
      <c r="F391" t="s">
        <v>17</v>
      </c>
      <c r="G391" t="s">
        <v>18</v>
      </c>
      <c r="H391">
        <v>86307.86</v>
      </c>
      <c r="I391">
        <v>11</v>
      </c>
      <c r="J391" t="s">
        <v>28</v>
      </c>
      <c r="K391" t="s">
        <v>50</v>
      </c>
      <c r="L391" t="s">
        <v>112</v>
      </c>
      <c r="M391" t="s">
        <v>31</v>
      </c>
    </row>
    <row r="392" spans="1:13" x14ac:dyDescent="0.3">
      <c r="A392" t="s">
        <v>718</v>
      </c>
      <c r="B392" t="s">
        <v>152</v>
      </c>
      <c r="C392">
        <v>46</v>
      </c>
      <c r="D392" t="s">
        <v>15</v>
      </c>
      <c r="E392" t="s">
        <v>25</v>
      </c>
      <c r="F392" t="s">
        <v>79</v>
      </c>
      <c r="G392" t="s">
        <v>80</v>
      </c>
      <c r="H392">
        <v>34556.43</v>
      </c>
      <c r="I392">
        <v>3</v>
      </c>
      <c r="J392" t="s">
        <v>19</v>
      </c>
      <c r="K392" t="s">
        <v>74</v>
      </c>
      <c r="L392" t="s">
        <v>112</v>
      </c>
      <c r="M392" t="s">
        <v>31</v>
      </c>
    </row>
    <row r="393" spans="1:13" x14ac:dyDescent="0.3">
      <c r="A393" t="s">
        <v>719</v>
      </c>
      <c r="B393" t="s">
        <v>63</v>
      </c>
      <c r="C393">
        <v>86</v>
      </c>
      <c r="D393" t="s">
        <v>34</v>
      </c>
      <c r="E393" t="s">
        <v>25</v>
      </c>
      <c r="F393" t="s">
        <v>17</v>
      </c>
      <c r="G393" t="s">
        <v>43</v>
      </c>
      <c r="H393">
        <v>91369.61</v>
      </c>
      <c r="I393">
        <v>1</v>
      </c>
      <c r="J393" t="s">
        <v>19</v>
      </c>
      <c r="K393" t="s">
        <v>50</v>
      </c>
      <c r="L393" t="s">
        <v>30</v>
      </c>
      <c r="M393" t="s">
        <v>58</v>
      </c>
    </row>
    <row r="394" spans="1:13" x14ac:dyDescent="0.3">
      <c r="A394" t="s">
        <v>720</v>
      </c>
      <c r="B394" t="s">
        <v>721</v>
      </c>
      <c r="C394">
        <v>27</v>
      </c>
      <c r="D394" t="s">
        <v>15</v>
      </c>
      <c r="E394" t="s">
        <v>16</v>
      </c>
      <c r="F394" t="s">
        <v>61</v>
      </c>
      <c r="G394" t="s">
        <v>43</v>
      </c>
      <c r="H394">
        <v>119983.26</v>
      </c>
      <c r="I394">
        <v>13</v>
      </c>
      <c r="J394" t="s">
        <v>28</v>
      </c>
      <c r="K394" t="s">
        <v>69</v>
      </c>
      <c r="L394" t="s">
        <v>40</v>
      </c>
      <c r="M394" t="s">
        <v>31</v>
      </c>
    </row>
    <row r="395" spans="1:13" x14ac:dyDescent="0.3">
      <c r="A395" t="s">
        <v>722</v>
      </c>
      <c r="B395" t="s">
        <v>76</v>
      </c>
      <c r="C395">
        <v>82</v>
      </c>
      <c r="D395" t="s">
        <v>34</v>
      </c>
      <c r="E395" t="s">
        <v>64</v>
      </c>
      <c r="F395" t="s">
        <v>61</v>
      </c>
      <c r="G395" t="s">
        <v>36</v>
      </c>
      <c r="H395">
        <v>133331.85999999999</v>
      </c>
      <c r="I395">
        <v>2</v>
      </c>
      <c r="J395" t="s">
        <v>19</v>
      </c>
      <c r="K395" t="s">
        <v>50</v>
      </c>
      <c r="L395" t="s">
        <v>45</v>
      </c>
      <c r="M395" t="s">
        <v>31</v>
      </c>
    </row>
    <row r="396" spans="1:13" x14ac:dyDescent="0.3">
      <c r="A396" t="s">
        <v>723</v>
      </c>
      <c r="B396" t="s">
        <v>397</v>
      </c>
      <c r="C396">
        <v>40</v>
      </c>
      <c r="D396" t="s">
        <v>34</v>
      </c>
      <c r="E396" t="s">
        <v>83</v>
      </c>
      <c r="F396" t="s">
        <v>61</v>
      </c>
      <c r="G396" t="s">
        <v>54</v>
      </c>
      <c r="H396">
        <v>148094.04999999999</v>
      </c>
      <c r="I396">
        <v>8</v>
      </c>
      <c r="J396" t="s">
        <v>28</v>
      </c>
      <c r="K396" t="s">
        <v>29</v>
      </c>
      <c r="L396" t="s">
        <v>21</v>
      </c>
      <c r="M396" t="s">
        <v>58</v>
      </c>
    </row>
    <row r="397" spans="1:13" x14ac:dyDescent="0.3">
      <c r="A397" t="s">
        <v>724</v>
      </c>
      <c r="B397" t="s">
        <v>659</v>
      </c>
      <c r="C397">
        <v>26</v>
      </c>
      <c r="D397" t="s">
        <v>15</v>
      </c>
      <c r="E397" t="s">
        <v>35</v>
      </c>
      <c r="F397" t="s">
        <v>89</v>
      </c>
      <c r="G397" t="s">
        <v>27</v>
      </c>
      <c r="H397">
        <v>100089.73</v>
      </c>
      <c r="I397">
        <v>13</v>
      </c>
      <c r="J397" t="s">
        <v>19</v>
      </c>
      <c r="K397" t="s">
        <v>39</v>
      </c>
      <c r="L397" t="s">
        <v>40</v>
      </c>
      <c r="M397" t="s">
        <v>58</v>
      </c>
    </row>
    <row r="398" spans="1:13" x14ac:dyDescent="0.3">
      <c r="A398" t="s">
        <v>725</v>
      </c>
      <c r="B398" t="s">
        <v>726</v>
      </c>
      <c r="C398">
        <v>78</v>
      </c>
      <c r="D398" t="s">
        <v>15</v>
      </c>
      <c r="E398" t="s">
        <v>16</v>
      </c>
      <c r="F398" t="s">
        <v>84</v>
      </c>
      <c r="G398" t="s">
        <v>27</v>
      </c>
      <c r="H398">
        <v>46124.25</v>
      </c>
      <c r="I398">
        <v>5</v>
      </c>
      <c r="J398" t="s">
        <v>28</v>
      </c>
      <c r="K398" t="s">
        <v>55</v>
      </c>
      <c r="L398" t="s">
        <v>30</v>
      </c>
      <c r="M398" t="s">
        <v>31</v>
      </c>
    </row>
    <row r="399" spans="1:13" x14ac:dyDescent="0.3">
      <c r="A399" t="s">
        <v>727</v>
      </c>
      <c r="B399" t="s">
        <v>687</v>
      </c>
      <c r="C399">
        <v>34</v>
      </c>
      <c r="D399" t="s">
        <v>15</v>
      </c>
      <c r="E399" t="s">
        <v>64</v>
      </c>
      <c r="F399" t="s">
        <v>89</v>
      </c>
      <c r="G399" t="s">
        <v>43</v>
      </c>
      <c r="H399">
        <v>138743.31</v>
      </c>
      <c r="I399">
        <v>18</v>
      </c>
      <c r="J399" t="s">
        <v>19</v>
      </c>
      <c r="K399" t="s">
        <v>20</v>
      </c>
      <c r="L399" t="s">
        <v>30</v>
      </c>
      <c r="M399" t="s">
        <v>58</v>
      </c>
    </row>
    <row r="400" spans="1:13" x14ac:dyDescent="0.3">
      <c r="A400" t="s">
        <v>728</v>
      </c>
      <c r="B400" t="s">
        <v>729</v>
      </c>
      <c r="C400">
        <v>24</v>
      </c>
      <c r="D400" t="s">
        <v>15</v>
      </c>
      <c r="E400" t="s">
        <v>35</v>
      </c>
      <c r="F400" t="s">
        <v>61</v>
      </c>
      <c r="G400" t="s">
        <v>18</v>
      </c>
      <c r="H400">
        <v>105809.15</v>
      </c>
      <c r="I400">
        <v>8</v>
      </c>
      <c r="J400" t="s">
        <v>19</v>
      </c>
      <c r="K400" t="s">
        <v>69</v>
      </c>
      <c r="L400" t="s">
        <v>45</v>
      </c>
      <c r="M400" t="s">
        <v>31</v>
      </c>
    </row>
    <row r="401" spans="1:13" x14ac:dyDescent="0.3">
      <c r="A401" t="s">
        <v>730</v>
      </c>
      <c r="B401" t="s">
        <v>68</v>
      </c>
      <c r="C401">
        <v>73</v>
      </c>
      <c r="D401" t="s">
        <v>15</v>
      </c>
      <c r="E401" t="s">
        <v>64</v>
      </c>
      <c r="F401" t="s">
        <v>79</v>
      </c>
      <c r="G401" t="s">
        <v>80</v>
      </c>
      <c r="H401">
        <v>148147.54999999999</v>
      </c>
      <c r="I401">
        <v>3</v>
      </c>
      <c r="J401" t="s">
        <v>19</v>
      </c>
      <c r="K401" t="s">
        <v>50</v>
      </c>
      <c r="L401" t="s">
        <v>45</v>
      </c>
      <c r="M401" t="s">
        <v>31</v>
      </c>
    </row>
    <row r="402" spans="1:13" x14ac:dyDescent="0.3">
      <c r="A402" t="s">
        <v>731</v>
      </c>
      <c r="B402" t="s">
        <v>495</v>
      </c>
      <c r="C402">
        <v>32</v>
      </c>
      <c r="D402" t="s">
        <v>15</v>
      </c>
      <c r="E402" t="s">
        <v>16</v>
      </c>
      <c r="F402" t="s">
        <v>89</v>
      </c>
      <c r="G402" t="s">
        <v>36</v>
      </c>
      <c r="H402">
        <v>129845.87</v>
      </c>
      <c r="I402">
        <v>10</v>
      </c>
      <c r="J402" t="s">
        <v>19</v>
      </c>
      <c r="K402" t="s">
        <v>50</v>
      </c>
      <c r="L402" t="s">
        <v>21</v>
      </c>
      <c r="M402" t="s">
        <v>58</v>
      </c>
    </row>
    <row r="403" spans="1:13" x14ac:dyDescent="0.3">
      <c r="A403" t="s">
        <v>732</v>
      </c>
      <c r="B403" t="s">
        <v>733</v>
      </c>
      <c r="C403">
        <v>10</v>
      </c>
      <c r="D403" t="s">
        <v>34</v>
      </c>
      <c r="E403" t="s">
        <v>25</v>
      </c>
      <c r="F403" t="s">
        <v>26</v>
      </c>
      <c r="G403" t="s">
        <v>36</v>
      </c>
      <c r="H403">
        <v>74518.64</v>
      </c>
      <c r="I403">
        <v>11</v>
      </c>
      <c r="J403" t="s">
        <v>28</v>
      </c>
      <c r="K403" t="s">
        <v>55</v>
      </c>
      <c r="L403" t="s">
        <v>51</v>
      </c>
      <c r="M403" t="s">
        <v>58</v>
      </c>
    </row>
    <row r="404" spans="1:13" x14ac:dyDescent="0.3">
      <c r="A404" t="s">
        <v>734</v>
      </c>
      <c r="B404" t="s">
        <v>735</v>
      </c>
      <c r="C404">
        <v>39</v>
      </c>
      <c r="D404" t="s">
        <v>34</v>
      </c>
      <c r="E404" t="s">
        <v>117</v>
      </c>
      <c r="F404" t="s">
        <v>89</v>
      </c>
      <c r="G404" t="s">
        <v>36</v>
      </c>
      <c r="H404">
        <v>87682.69</v>
      </c>
      <c r="I404">
        <v>8</v>
      </c>
      <c r="J404" t="s">
        <v>28</v>
      </c>
      <c r="K404" t="s">
        <v>39</v>
      </c>
      <c r="L404" t="s">
        <v>112</v>
      </c>
      <c r="M404" t="s">
        <v>58</v>
      </c>
    </row>
    <row r="405" spans="1:13" x14ac:dyDescent="0.3">
      <c r="A405" t="s">
        <v>736</v>
      </c>
      <c r="B405" t="s">
        <v>527</v>
      </c>
      <c r="C405">
        <v>48</v>
      </c>
      <c r="D405" t="s">
        <v>34</v>
      </c>
      <c r="E405" t="s">
        <v>64</v>
      </c>
      <c r="F405" t="s">
        <v>84</v>
      </c>
      <c r="G405" t="s">
        <v>43</v>
      </c>
      <c r="H405">
        <v>120234.07</v>
      </c>
      <c r="I405">
        <v>11</v>
      </c>
      <c r="J405" t="s">
        <v>28</v>
      </c>
      <c r="K405" t="s">
        <v>44</v>
      </c>
      <c r="L405" t="s">
        <v>112</v>
      </c>
      <c r="M405" t="s">
        <v>22</v>
      </c>
    </row>
    <row r="406" spans="1:13" x14ac:dyDescent="0.3">
      <c r="A406" t="s">
        <v>737</v>
      </c>
      <c r="B406" t="s">
        <v>162</v>
      </c>
      <c r="C406">
        <v>80</v>
      </c>
      <c r="D406" t="s">
        <v>34</v>
      </c>
      <c r="E406" t="s">
        <v>35</v>
      </c>
      <c r="F406" t="s">
        <v>17</v>
      </c>
      <c r="G406" t="s">
        <v>43</v>
      </c>
      <c r="H406">
        <v>142082.62</v>
      </c>
      <c r="I406">
        <v>19</v>
      </c>
      <c r="J406" t="s">
        <v>28</v>
      </c>
      <c r="K406" t="s">
        <v>44</v>
      </c>
      <c r="L406" t="s">
        <v>45</v>
      </c>
      <c r="M406" t="s">
        <v>31</v>
      </c>
    </row>
    <row r="407" spans="1:13" x14ac:dyDescent="0.3">
      <c r="A407" t="s">
        <v>738</v>
      </c>
      <c r="B407" t="s">
        <v>739</v>
      </c>
      <c r="C407">
        <v>90</v>
      </c>
      <c r="D407" t="s">
        <v>15</v>
      </c>
      <c r="E407" t="s">
        <v>25</v>
      </c>
      <c r="F407" t="s">
        <v>79</v>
      </c>
      <c r="G407" t="s">
        <v>36</v>
      </c>
      <c r="H407">
        <v>110906.32</v>
      </c>
      <c r="I407">
        <v>12</v>
      </c>
      <c r="J407" t="s">
        <v>28</v>
      </c>
      <c r="K407" t="s">
        <v>44</v>
      </c>
      <c r="L407" t="s">
        <v>40</v>
      </c>
      <c r="M407" t="s">
        <v>58</v>
      </c>
    </row>
    <row r="408" spans="1:13" x14ac:dyDescent="0.3">
      <c r="A408" t="s">
        <v>740</v>
      </c>
      <c r="B408" t="s">
        <v>741</v>
      </c>
      <c r="C408">
        <v>45</v>
      </c>
      <c r="D408" t="s">
        <v>15</v>
      </c>
      <c r="E408" t="s">
        <v>35</v>
      </c>
      <c r="F408" t="s">
        <v>89</v>
      </c>
      <c r="G408" t="s">
        <v>80</v>
      </c>
      <c r="H408">
        <v>66228.320000000007</v>
      </c>
      <c r="I408">
        <v>12</v>
      </c>
      <c r="J408" t="s">
        <v>19</v>
      </c>
      <c r="K408" t="s">
        <v>39</v>
      </c>
      <c r="L408" t="s">
        <v>112</v>
      </c>
      <c r="M408" t="s">
        <v>58</v>
      </c>
    </row>
    <row r="409" spans="1:13" x14ac:dyDescent="0.3">
      <c r="A409" t="s">
        <v>742</v>
      </c>
      <c r="B409" t="s">
        <v>644</v>
      </c>
      <c r="C409">
        <v>33</v>
      </c>
      <c r="D409" t="s">
        <v>15</v>
      </c>
      <c r="E409" t="s">
        <v>35</v>
      </c>
      <c r="F409" t="s">
        <v>61</v>
      </c>
      <c r="G409" t="s">
        <v>18</v>
      </c>
      <c r="H409">
        <v>35447.9</v>
      </c>
      <c r="I409">
        <v>9</v>
      </c>
      <c r="J409" t="s">
        <v>28</v>
      </c>
      <c r="K409" t="s">
        <v>29</v>
      </c>
      <c r="L409" t="s">
        <v>51</v>
      </c>
      <c r="M409" t="s">
        <v>58</v>
      </c>
    </row>
    <row r="410" spans="1:13" x14ac:dyDescent="0.3">
      <c r="A410" t="s">
        <v>743</v>
      </c>
      <c r="B410" t="s">
        <v>285</v>
      </c>
      <c r="C410">
        <v>23</v>
      </c>
      <c r="D410" t="s">
        <v>34</v>
      </c>
      <c r="E410" t="s">
        <v>64</v>
      </c>
      <c r="F410" t="s">
        <v>61</v>
      </c>
      <c r="G410" t="s">
        <v>36</v>
      </c>
      <c r="H410">
        <v>77495.34</v>
      </c>
      <c r="I410">
        <v>4</v>
      </c>
      <c r="J410" t="s">
        <v>28</v>
      </c>
      <c r="K410" t="s">
        <v>39</v>
      </c>
      <c r="L410" t="s">
        <v>40</v>
      </c>
      <c r="M410" t="s">
        <v>31</v>
      </c>
    </row>
    <row r="411" spans="1:13" x14ac:dyDescent="0.3">
      <c r="A411" t="s">
        <v>744</v>
      </c>
      <c r="B411" t="s">
        <v>745</v>
      </c>
      <c r="C411">
        <v>72</v>
      </c>
      <c r="D411" t="s">
        <v>15</v>
      </c>
      <c r="E411" t="s">
        <v>64</v>
      </c>
      <c r="F411" t="s">
        <v>89</v>
      </c>
      <c r="G411" t="s">
        <v>18</v>
      </c>
      <c r="H411">
        <v>64484.7</v>
      </c>
      <c r="I411">
        <v>17</v>
      </c>
      <c r="J411" t="s">
        <v>28</v>
      </c>
      <c r="K411" t="s">
        <v>39</v>
      </c>
      <c r="L411" t="s">
        <v>21</v>
      </c>
      <c r="M411" t="s">
        <v>31</v>
      </c>
    </row>
    <row r="412" spans="1:13" x14ac:dyDescent="0.3">
      <c r="A412" t="s">
        <v>746</v>
      </c>
      <c r="B412" t="s">
        <v>747</v>
      </c>
      <c r="C412">
        <v>50</v>
      </c>
      <c r="D412" t="s">
        <v>15</v>
      </c>
      <c r="E412" t="s">
        <v>16</v>
      </c>
      <c r="F412" t="s">
        <v>17</v>
      </c>
      <c r="G412" t="s">
        <v>80</v>
      </c>
      <c r="H412">
        <v>30617.64</v>
      </c>
      <c r="I412">
        <v>10</v>
      </c>
      <c r="J412" t="s">
        <v>19</v>
      </c>
      <c r="K412" t="s">
        <v>20</v>
      </c>
      <c r="L412" t="s">
        <v>40</v>
      </c>
      <c r="M412" t="s">
        <v>58</v>
      </c>
    </row>
    <row r="413" spans="1:13" x14ac:dyDescent="0.3">
      <c r="A413" t="s">
        <v>748</v>
      </c>
      <c r="B413" t="s">
        <v>749</v>
      </c>
      <c r="C413">
        <v>23</v>
      </c>
      <c r="D413" t="s">
        <v>15</v>
      </c>
      <c r="E413" t="s">
        <v>25</v>
      </c>
      <c r="F413" t="s">
        <v>61</v>
      </c>
      <c r="G413" t="s">
        <v>43</v>
      </c>
      <c r="H413">
        <v>30455.19</v>
      </c>
      <c r="I413">
        <v>11</v>
      </c>
      <c r="J413" t="s">
        <v>28</v>
      </c>
      <c r="K413" t="s">
        <v>39</v>
      </c>
      <c r="L413" t="s">
        <v>30</v>
      </c>
      <c r="M413" t="s">
        <v>22</v>
      </c>
    </row>
    <row r="414" spans="1:13" x14ac:dyDescent="0.3">
      <c r="A414" t="s">
        <v>750</v>
      </c>
      <c r="B414" t="s">
        <v>220</v>
      </c>
      <c r="C414">
        <v>80</v>
      </c>
      <c r="D414" t="s">
        <v>34</v>
      </c>
      <c r="E414" t="s">
        <v>25</v>
      </c>
      <c r="F414" t="s">
        <v>61</v>
      </c>
      <c r="G414" t="s">
        <v>43</v>
      </c>
      <c r="H414">
        <v>123874.72</v>
      </c>
      <c r="I414">
        <v>2</v>
      </c>
      <c r="J414" t="s">
        <v>19</v>
      </c>
      <c r="K414" t="s">
        <v>44</v>
      </c>
      <c r="L414" t="s">
        <v>112</v>
      </c>
      <c r="M414" t="s">
        <v>31</v>
      </c>
    </row>
    <row r="415" spans="1:13" x14ac:dyDescent="0.3">
      <c r="A415" t="s">
        <v>751</v>
      </c>
      <c r="B415" t="s">
        <v>752</v>
      </c>
      <c r="C415">
        <v>52</v>
      </c>
      <c r="D415" t="s">
        <v>34</v>
      </c>
      <c r="E415" t="s">
        <v>25</v>
      </c>
      <c r="F415" t="s">
        <v>17</v>
      </c>
      <c r="G415" t="s">
        <v>18</v>
      </c>
      <c r="H415">
        <v>78553.990000000005</v>
      </c>
      <c r="I415">
        <v>19</v>
      </c>
      <c r="J415" t="s">
        <v>19</v>
      </c>
      <c r="K415" t="s">
        <v>74</v>
      </c>
      <c r="L415" t="s">
        <v>40</v>
      </c>
      <c r="M415" t="s">
        <v>22</v>
      </c>
    </row>
    <row r="416" spans="1:13" x14ac:dyDescent="0.3">
      <c r="A416" t="s">
        <v>753</v>
      </c>
      <c r="B416" t="s">
        <v>530</v>
      </c>
      <c r="C416">
        <v>51</v>
      </c>
      <c r="D416" t="s">
        <v>34</v>
      </c>
      <c r="E416" t="s">
        <v>25</v>
      </c>
      <c r="F416" t="s">
        <v>79</v>
      </c>
      <c r="G416" t="s">
        <v>27</v>
      </c>
      <c r="H416">
        <v>131893.01</v>
      </c>
      <c r="I416">
        <v>16</v>
      </c>
      <c r="J416" t="s">
        <v>28</v>
      </c>
      <c r="K416" t="s">
        <v>55</v>
      </c>
      <c r="L416" t="s">
        <v>21</v>
      </c>
      <c r="M416" t="s">
        <v>22</v>
      </c>
    </row>
    <row r="417" spans="1:13" x14ac:dyDescent="0.3">
      <c r="A417" t="s">
        <v>754</v>
      </c>
      <c r="B417" t="s">
        <v>755</v>
      </c>
      <c r="C417">
        <v>48</v>
      </c>
      <c r="D417" t="s">
        <v>34</v>
      </c>
      <c r="E417" t="s">
        <v>35</v>
      </c>
      <c r="F417" t="s">
        <v>17</v>
      </c>
      <c r="G417" t="s">
        <v>80</v>
      </c>
      <c r="H417">
        <v>24361.96</v>
      </c>
      <c r="I417">
        <v>11</v>
      </c>
      <c r="J417" t="s">
        <v>28</v>
      </c>
      <c r="K417" t="s">
        <v>55</v>
      </c>
      <c r="L417" t="s">
        <v>112</v>
      </c>
      <c r="M417" t="s">
        <v>31</v>
      </c>
    </row>
    <row r="418" spans="1:13" x14ac:dyDescent="0.3">
      <c r="A418" t="s">
        <v>756</v>
      </c>
      <c r="B418" t="s">
        <v>757</v>
      </c>
      <c r="C418">
        <v>26</v>
      </c>
      <c r="D418" t="s">
        <v>15</v>
      </c>
      <c r="E418" t="s">
        <v>16</v>
      </c>
      <c r="F418" t="s">
        <v>26</v>
      </c>
      <c r="G418" t="s">
        <v>43</v>
      </c>
      <c r="H418">
        <v>81601</v>
      </c>
      <c r="I418">
        <v>14</v>
      </c>
      <c r="J418" t="s">
        <v>28</v>
      </c>
      <c r="K418" t="s">
        <v>55</v>
      </c>
      <c r="L418" t="s">
        <v>45</v>
      </c>
      <c r="M418" t="s">
        <v>22</v>
      </c>
    </row>
    <row r="419" spans="1:13" x14ac:dyDescent="0.3">
      <c r="A419" t="s">
        <v>758</v>
      </c>
      <c r="B419" t="s">
        <v>759</v>
      </c>
      <c r="C419">
        <v>30</v>
      </c>
      <c r="D419" t="s">
        <v>34</v>
      </c>
      <c r="E419" t="s">
        <v>64</v>
      </c>
      <c r="F419" t="s">
        <v>89</v>
      </c>
      <c r="G419" t="s">
        <v>54</v>
      </c>
      <c r="H419">
        <v>110722.81</v>
      </c>
      <c r="I419">
        <v>15</v>
      </c>
      <c r="J419" t="s">
        <v>19</v>
      </c>
      <c r="K419" t="s">
        <v>50</v>
      </c>
      <c r="L419" t="s">
        <v>45</v>
      </c>
      <c r="M419" t="s">
        <v>22</v>
      </c>
    </row>
    <row r="420" spans="1:13" x14ac:dyDescent="0.3">
      <c r="A420" t="s">
        <v>760</v>
      </c>
      <c r="B420" t="s">
        <v>761</v>
      </c>
      <c r="C420">
        <v>24</v>
      </c>
      <c r="D420" t="s">
        <v>34</v>
      </c>
      <c r="E420" t="s">
        <v>64</v>
      </c>
      <c r="F420" t="s">
        <v>61</v>
      </c>
      <c r="G420" t="s">
        <v>43</v>
      </c>
      <c r="H420">
        <v>95592.88</v>
      </c>
      <c r="I420">
        <v>20</v>
      </c>
      <c r="J420" t="s">
        <v>28</v>
      </c>
      <c r="K420" t="s">
        <v>39</v>
      </c>
      <c r="L420" t="s">
        <v>40</v>
      </c>
      <c r="M420" t="s">
        <v>22</v>
      </c>
    </row>
    <row r="421" spans="1:13" x14ac:dyDescent="0.3">
      <c r="A421" t="s">
        <v>762</v>
      </c>
      <c r="B421" t="s">
        <v>761</v>
      </c>
      <c r="C421">
        <v>38</v>
      </c>
      <c r="D421" t="s">
        <v>34</v>
      </c>
      <c r="E421" t="s">
        <v>83</v>
      </c>
      <c r="F421" t="s">
        <v>89</v>
      </c>
      <c r="G421" t="s">
        <v>54</v>
      </c>
      <c r="H421">
        <v>8371.06</v>
      </c>
      <c r="I421">
        <v>5</v>
      </c>
      <c r="J421" t="s">
        <v>19</v>
      </c>
      <c r="K421" t="s">
        <v>44</v>
      </c>
      <c r="L421" t="s">
        <v>45</v>
      </c>
      <c r="M421" t="s">
        <v>22</v>
      </c>
    </row>
    <row r="422" spans="1:13" x14ac:dyDescent="0.3">
      <c r="A422" t="s">
        <v>763</v>
      </c>
      <c r="B422" t="s">
        <v>764</v>
      </c>
      <c r="C422">
        <v>78</v>
      </c>
      <c r="D422" t="s">
        <v>34</v>
      </c>
      <c r="E422" t="s">
        <v>25</v>
      </c>
      <c r="F422" t="s">
        <v>89</v>
      </c>
      <c r="G422" t="s">
        <v>80</v>
      </c>
      <c r="H422">
        <v>127483.65</v>
      </c>
      <c r="I422">
        <v>17</v>
      </c>
      <c r="J422" t="s">
        <v>19</v>
      </c>
      <c r="K422" t="s">
        <v>29</v>
      </c>
      <c r="L422" t="s">
        <v>21</v>
      </c>
      <c r="M422" t="s">
        <v>22</v>
      </c>
    </row>
    <row r="423" spans="1:13" x14ac:dyDescent="0.3">
      <c r="A423" t="s">
        <v>765</v>
      </c>
      <c r="B423" t="s">
        <v>766</v>
      </c>
      <c r="C423">
        <v>29</v>
      </c>
      <c r="D423" t="s">
        <v>34</v>
      </c>
      <c r="E423" t="s">
        <v>117</v>
      </c>
      <c r="F423" t="s">
        <v>84</v>
      </c>
      <c r="G423" t="s">
        <v>54</v>
      </c>
      <c r="H423">
        <v>93634.25</v>
      </c>
      <c r="I423">
        <v>6</v>
      </c>
      <c r="J423" t="s">
        <v>19</v>
      </c>
      <c r="K423" t="s">
        <v>74</v>
      </c>
      <c r="L423" t="s">
        <v>40</v>
      </c>
      <c r="M423" t="s">
        <v>31</v>
      </c>
    </row>
    <row r="424" spans="1:13" x14ac:dyDescent="0.3">
      <c r="A424" t="s">
        <v>767</v>
      </c>
      <c r="B424" t="s">
        <v>768</v>
      </c>
      <c r="C424">
        <v>38</v>
      </c>
      <c r="D424" t="s">
        <v>34</v>
      </c>
      <c r="E424" t="s">
        <v>35</v>
      </c>
      <c r="F424" t="s">
        <v>84</v>
      </c>
      <c r="G424" t="s">
        <v>80</v>
      </c>
      <c r="H424">
        <v>134868.76</v>
      </c>
      <c r="I424">
        <v>2</v>
      </c>
      <c r="J424" t="s">
        <v>28</v>
      </c>
      <c r="K424" t="s">
        <v>55</v>
      </c>
      <c r="L424" t="s">
        <v>21</v>
      </c>
      <c r="M424" t="s">
        <v>22</v>
      </c>
    </row>
    <row r="425" spans="1:13" x14ac:dyDescent="0.3">
      <c r="A425" t="s">
        <v>769</v>
      </c>
      <c r="B425" t="s">
        <v>105</v>
      </c>
      <c r="C425">
        <v>21</v>
      </c>
      <c r="D425" t="s">
        <v>34</v>
      </c>
      <c r="E425" t="s">
        <v>25</v>
      </c>
      <c r="F425" t="s">
        <v>61</v>
      </c>
      <c r="G425" t="s">
        <v>18</v>
      </c>
      <c r="H425">
        <v>5032.8599999999997</v>
      </c>
      <c r="I425">
        <v>11</v>
      </c>
      <c r="J425" t="s">
        <v>28</v>
      </c>
      <c r="K425" t="s">
        <v>20</v>
      </c>
      <c r="L425" t="s">
        <v>112</v>
      </c>
      <c r="M425" t="s">
        <v>31</v>
      </c>
    </row>
    <row r="426" spans="1:13" x14ac:dyDescent="0.3">
      <c r="A426" t="s">
        <v>770</v>
      </c>
      <c r="B426" t="s">
        <v>771</v>
      </c>
      <c r="C426">
        <v>49</v>
      </c>
      <c r="D426" t="s">
        <v>34</v>
      </c>
      <c r="E426" t="s">
        <v>117</v>
      </c>
      <c r="F426" t="s">
        <v>61</v>
      </c>
      <c r="G426" t="s">
        <v>80</v>
      </c>
      <c r="H426">
        <v>86912.44</v>
      </c>
      <c r="I426">
        <v>8</v>
      </c>
      <c r="J426" t="s">
        <v>19</v>
      </c>
      <c r="K426" t="s">
        <v>55</v>
      </c>
      <c r="L426" t="s">
        <v>51</v>
      </c>
      <c r="M426" t="s">
        <v>22</v>
      </c>
    </row>
    <row r="427" spans="1:13" x14ac:dyDescent="0.3">
      <c r="A427" t="s">
        <v>772</v>
      </c>
      <c r="B427" t="s">
        <v>766</v>
      </c>
      <c r="C427">
        <v>47</v>
      </c>
      <c r="D427" t="s">
        <v>15</v>
      </c>
      <c r="E427" t="s">
        <v>35</v>
      </c>
      <c r="F427" t="s">
        <v>89</v>
      </c>
      <c r="G427" t="s">
        <v>18</v>
      </c>
      <c r="H427">
        <v>128604.03</v>
      </c>
      <c r="I427">
        <v>5</v>
      </c>
      <c r="J427" t="s">
        <v>28</v>
      </c>
      <c r="K427" t="s">
        <v>50</v>
      </c>
      <c r="L427" t="s">
        <v>45</v>
      </c>
      <c r="M427" t="s">
        <v>58</v>
      </c>
    </row>
    <row r="428" spans="1:13" x14ac:dyDescent="0.3">
      <c r="A428" t="s">
        <v>773</v>
      </c>
      <c r="B428" t="s">
        <v>360</v>
      </c>
      <c r="C428">
        <v>50</v>
      </c>
      <c r="D428" t="s">
        <v>15</v>
      </c>
      <c r="E428" t="s">
        <v>25</v>
      </c>
      <c r="F428" t="s">
        <v>84</v>
      </c>
      <c r="G428" t="s">
        <v>18</v>
      </c>
      <c r="H428">
        <v>59896.7</v>
      </c>
      <c r="I428">
        <v>3</v>
      </c>
      <c r="J428" t="s">
        <v>19</v>
      </c>
      <c r="K428" t="s">
        <v>55</v>
      </c>
      <c r="L428" t="s">
        <v>40</v>
      </c>
      <c r="M428" t="s">
        <v>58</v>
      </c>
    </row>
    <row r="429" spans="1:13" x14ac:dyDescent="0.3">
      <c r="A429" t="s">
        <v>774</v>
      </c>
      <c r="B429" t="s">
        <v>775</v>
      </c>
      <c r="C429">
        <v>9</v>
      </c>
      <c r="D429" t="s">
        <v>34</v>
      </c>
      <c r="E429" t="s">
        <v>83</v>
      </c>
      <c r="F429" t="s">
        <v>26</v>
      </c>
      <c r="G429" t="s">
        <v>27</v>
      </c>
      <c r="H429">
        <v>127148.66</v>
      </c>
      <c r="I429">
        <v>3</v>
      </c>
      <c r="J429" t="s">
        <v>19</v>
      </c>
      <c r="K429" t="s">
        <v>29</v>
      </c>
      <c r="L429" t="s">
        <v>40</v>
      </c>
      <c r="M429" t="s">
        <v>58</v>
      </c>
    </row>
    <row r="430" spans="1:13" x14ac:dyDescent="0.3">
      <c r="A430" t="s">
        <v>776</v>
      </c>
      <c r="B430" t="s">
        <v>555</v>
      </c>
      <c r="C430">
        <v>33</v>
      </c>
      <c r="D430" t="s">
        <v>15</v>
      </c>
      <c r="E430" t="s">
        <v>83</v>
      </c>
      <c r="F430" t="s">
        <v>17</v>
      </c>
      <c r="G430" t="s">
        <v>27</v>
      </c>
      <c r="H430">
        <v>138110.26999999999</v>
      </c>
      <c r="I430">
        <v>11</v>
      </c>
      <c r="J430" t="s">
        <v>19</v>
      </c>
      <c r="K430" t="s">
        <v>50</v>
      </c>
      <c r="L430" t="s">
        <v>112</v>
      </c>
      <c r="M430" t="s">
        <v>31</v>
      </c>
    </row>
    <row r="431" spans="1:13" x14ac:dyDescent="0.3">
      <c r="A431" t="s">
        <v>777</v>
      </c>
      <c r="B431" t="s">
        <v>489</v>
      </c>
      <c r="C431">
        <v>9</v>
      </c>
      <c r="D431" t="s">
        <v>34</v>
      </c>
      <c r="E431" t="s">
        <v>64</v>
      </c>
      <c r="F431" t="s">
        <v>61</v>
      </c>
      <c r="G431" t="s">
        <v>54</v>
      </c>
      <c r="H431">
        <v>45800.72</v>
      </c>
      <c r="I431">
        <v>5</v>
      </c>
      <c r="J431" t="s">
        <v>19</v>
      </c>
      <c r="K431" t="s">
        <v>74</v>
      </c>
      <c r="L431" t="s">
        <v>112</v>
      </c>
      <c r="M431" t="s">
        <v>58</v>
      </c>
    </row>
    <row r="432" spans="1:13" x14ac:dyDescent="0.3">
      <c r="A432" t="s">
        <v>778</v>
      </c>
      <c r="B432" t="s">
        <v>693</v>
      </c>
      <c r="C432">
        <v>23</v>
      </c>
      <c r="D432" t="s">
        <v>34</v>
      </c>
      <c r="E432" t="s">
        <v>83</v>
      </c>
      <c r="F432" t="s">
        <v>84</v>
      </c>
      <c r="G432" t="s">
        <v>36</v>
      </c>
      <c r="H432">
        <v>136956.96</v>
      </c>
      <c r="I432">
        <v>15</v>
      </c>
      <c r="J432" t="s">
        <v>19</v>
      </c>
      <c r="K432" t="s">
        <v>50</v>
      </c>
      <c r="L432" t="s">
        <v>21</v>
      </c>
      <c r="M432" t="s">
        <v>31</v>
      </c>
    </row>
    <row r="433" spans="1:13" x14ac:dyDescent="0.3">
      <c r="A433" t="s">
        <v>779</v>
      </c>
      <c r="B433" t="s">
        <v>73</v>
      </c>
      <c r="C433">
        <v>51</v>
      </c>
      <c r="D433" t="s">
        <v>34</v>
      </c>
      <c r="E433" t="s">
        <v>16</v>
      </c>
      <c r="F433" t="s">
        <v>17</v>
      </c>
      <c r="G433" t="s">
        <v>27</v>
      </c>
      <c r="H433">
        <v>12743.86</v>
      </c>
      <c r="I433">
        <v>5</v>
      </c>
      <c r="J433" t="s">
        <v>28</v>
      </c>
      <c r="K433" t="s">
        <v>44</v>
      </c>
      <c r="L433" t="s">
        <v>45</v>
      </c>
      <c r="M433" t="s">
        <v>58</v>
      </c>
    </row>
    <row r="434" spans="1:13" x14ac:dyDescent="0.3">
      <c r="A434" t="s">
        <v>780</v>
      </c>
      <c r="B434" t="s">
        <v>633</v>
      </c>
      <c r="C434">
        <v>37</v>
      </c>
      <c r="D434" t="s">
        <v>15</v>
      </c>
      <c r="E434" t="s">
        <v>16</v>
      </c>
      <c r="F434" t="s">
        <v>84</v>
      </c>
      <c r="G434" t="s">
        <v>54</v>
      </c>
      <c r="H434">
        <v>59987.7</v>
      </c>
      <c r="I434">
        <v>16</v>
      </c>
      <c r="J434" t="s">
        <v>28</v>
      </c>
      <c r="K434" t="s">
        <v>74</v>
      </c>
      <c r="L434" t="s">
        <v>30</v>
      </c>
      <c r="M434" t="s">
        <v>22</v>
      </c>
    </row>
    <row r="435" spans="1:13" x14ac:dyDescent="0.3">
      <c r="A435" t="s">
        <v>781</v>
      </c>
      <c r="B435" t="s">
        <v>687</v>
      </c>
      <c r="C435">
        <v>18</v>
      </c>
      <c r="D435" t="s">
        <v>34</v>
      </c>
      <c r="E435" t="s">
        <v>117</v>
      </c>
      <c r="F435" t="s">
        <v>61</v>
      </c>
      <c r="G435" t="s">
        <v>43</v>
      </c>
      <c r="H435">
        <v>90486.55</v>
      </c>
      <c r="I435">
        <v>4</v>
      </c>
      <c r="J435" t="s">
        <v>28</v>
      </c>
      <c r="K435" t="s">
        <v>29</v>
      </c>
      <c r="L435" t="s">
        <v>21</v>
      </c>
      <c r="M435" t="s">
        <v>31</v>
      </c>
    </row>
    <row r="436" spans="1:13" x14ac:dyDescent="0.3">
      <c r="A436" t="s">
        <v>782</v>
      </c>
      <c r="B436" t="s">
        <v>86</v>
      </c>
      <c r="C436">
        <v>50</v>
      </c>
      <c r="D436" t="s">
        <v>34</v>
      </c>
      <c r="E436" t="s">
        <v>25</v>
      </c>
      <c r="F436" t="s">
        <v>79</v>
      </c>
      <c r="G436" t="s">
        <v>54</v>
      </c>
      <c r="H436">
        <v>107446.41</v>
      </c>
      <c r="I436">
        <v>7</v>
      </c>
      <c r="J436" t="s">
        <v>19</v>
      </c>
      <c r="K436" t="s">
        <v>55</v>
      </c>
      <c r="L436" t="s">
        <v>30</v>
      </c>
      <c r="M436" t="s">
        <v>22</v>
      </c>
    </row>
    <row r="437" spans="1:13" x14ac:dyDescent="0.3">
      <c r="A437" t="s">
        <v>783</v>
      </c>
      <c r="B437" t="s">
        <v>387</v>
      </c>
      <c r="C437">
        <v>39</v>
      </c>
      <c r="D437" t="s">
        <v>15</v>
      </c>
      <c r="E437" t="s">
        <v>16</v>
      </c>
      <c r="F437" t="s">
        <v>89</v>
      </c>
      <c r="G437" t="s">
        <v>18</v>
      </c>
      <c r="H437">
        <v>22394.35</v>
      </c>
      <c r="I437">
        <v>13</v>
      </c>
      <c r="J437" t="s">
        <v>19</v>
      </c>
      <c r="K437" t="s">
        <v>44</v>
      </c>
      <c r="L437" t="s">
        <v>51</v>
      </c>
      <c r="M437" t="s">
        <v>31</v>
      </c>
    </row>
    <row r="438" spans="1:13" x14ac:dyDescent="0.3">
      <c r="A438" t="s">
        <v>784</v>
      </c>
      <c r="B438" t="s">
        <v>527</v>
      </c>
      <c r="C438">
        <v>12</v>
      </c>
      <c r="D438" t="s">
        <v>15</v>
      </c>
      <c r="E438" t="s">
        <v>35</v>
      </c>
      <c r="F438" t="s">
        <v>17</v>
      </c>
      <c r="G438" t="s">
        <v>43</v>
      </c>
      <c r="H438">
        <v>142515.29</v>
      </c>
      <c r="I438">
        <v>18</v>
      </c>
      <c r="J438" t="s">
        <v>28</v>
      </c>
      <c r="K438" t="s">
        <v>55</v>
      </c>
      <c r="L438" t="s">
        <v>45</v>
      </c>
      <c r="M438" t="s">
        <v>31</v>
      </c>
    </row>
    <row r="439" spans="1:13" x14ac:dyDescent="0.3">
      <c r="A439" t="s">
        <v>785</v>
      </c>
      <c r="B439" t="s">
        <v>235</v>
      </c>
      <c r="C439">
        <v>3</v>
      </c>
      <c r="D439" t="s">
        <v>34</v>
      </c>
      <c r="E439" t="s">
        <v>35</v>
      </c>
      <c r="F439" t="s">
        <v>26</v>
      </c>
      <c r="G439" t="s">
        <v>27</v>
      </c>
      <c r="H439">
        <v>52106.35</v>
      </c>
      <c r="I439">
        <v>14</v>
      </c>
      <c r="J439" t="s">
        <v>28</v>
      </c>
      <c r="K439" t="s">
        <v>74</v>
      </c>
      <c r="L439" t="s">
        <v>112</v>
      </c>
      <c r="M439" t="s">
        <v>58</v>
      </c>
    </row>
    <row r="440" spans="1:13" x14ac:dyDescent="0.3">
      <c r="A440" t="s">
        <v>786</v>
      </c>
      <c r="B440" t="s">
        <v>787</v>
      </c>
      <c r="C440">
        <v>86</v>
      </c>
      <c r="D440" t="s">
        <v>34</v>
      </c>
      <c r="E440" t="s">
        <v>64</v>
      </c>
      <c r="F440" t="s">
        <v>79</v>
      </c>
      <c r="G440" t="s">
        <v>43</v>
      </c>
      <c r="H440">
        <v>118730.68</v>
      </c>
      <c r="I440">
        <v>19</v>
      </c>
      <c r="J440" t="s">
        <v>28</v>
      </c>
      <c r="K440" t="s">
        <v>55</v>
      </c>
      <c r="L440" t="s">
        <v>45</v>
      </c>
      <c r="M440" t="s">
        <v>58</v>
      </c>
    </row>
    <row r="441" spans="1:13" x14ac:dyDescent="0.3">
      <c r="A441" t="s">
        <v>788</v>
      </c>
      <c r="B441" t="s">
        <v>789</v>
      </c>
      <c r="C441">
        <v>76</v>
      </c>
      <c r="D441" t="s">
        <v>34</v>
      </c>
      <c r="E441" t="s">
        <v>35</v>
      </c>
      <c r="F441" t="s">
        <v>89</v>
      </c>
      <c r="G441" t="s">
        <v>36</v>
      </c>
      <c r="H441">
        <v>96116.42</v>
      </c>
      <c r="I441">
        <v>13</v>
      </c>
      <c r="J441" t="s">
        <v>19</v>
      </c>
      <c r="K441" t="s">
        <v>69</v>
      </c>
      <c r="L441" t="s">
        <v>112</v>
      </c>
      <c r="M441" t="s">
        <v>58</v>
      </c>
    </row>
    <row r="442" spans="1:13" x14ac:dyDescent="0.3">
      <c r="A442" t="s">
        <v>790</v>
      </c>
      <c r="B442" t="s">
        <v>326</v>
      </c>
      <c r="C442">
        <v>51</v>
      </c>
      <c r="D442" t="s">
        <v>34</v>
      </c>
      <c r="E442" t="s">
        <v>64</v>
      </c>
      <c r="F442" t="s">
        <v>26</v>
      </c>
      <c r="G442" t="s">
        <v>43</v>
      </c>
      <c r="H442">
        <v>83503.48</v>
      </c>
      <c r="I442">
        <v>14</v>
      </c>
      <c r="J442" t="s">
        <v>19</v>
      </c>
      <c r="K442" t="s">
        <v>55</v>
      </c>
      <c r="L442" t="s">
        <v>45</v>
      </c>
      <c r="M442" t="s">
        <v>22</v>
      </c>
    </row>
    <row r="443" spans="1:13" x14ac:dyDescent="0.3">
      <c r="A443" t="s">
        <v>791</v>
      </c>
      <c r="B443" t="s">
        <v>160</v>
      </c>
      <c r="C443">
        <v>53</v>
      </c>
      <c r="D443" t="s">
        <v>15</v>
      </c>
      <c r="E443" t="s">
        <v>83</v>
      </c>
      <c r="F443" t="s">
        <v>26</v>
      </c>
      <c r="G443" t="s">
        <v>27</v>
      </c>
      <c r="H443">
        <v>5421.36</v>
      </c>
      <c r="I443">
        <v>8</v>
      </c>
      <c r="J443" t="s">
        <v>28</v>
      </c>
      <c r="K443" t="s">
        <v>55</v>
      </c>
      <c r="L443" t="s">
        <v>112</v>
      </c>
      <c r="M443" t="s">
        <v>31</v>
      </c>
    </row>
    <row r="444" spans="1:13" x14ac:dyDescent="0.3">
      <c r="A444" t="s">
        <v>792</v>
      </c>
      <c r="B444" t="s">
        <v>793</v>
      </c>
      <c r="C444">
        <v>69</v>
      </c>
      <c r="D444" t="s">
        <v>34</v>
      </c>
      <c r="E444" t="s">
        <v>35</v>
      </c>
      <c r="F444" t="s">
        <v>61</v>
      </c>
      <c r="G444" t="s">
        <v>43</v>
      </c>
      <c r="H444">
        <v>72614.23</v>
      </c>
      <c r="I444">
        <v>7</v>
      </c>
      <c r="J444" t="s">
        <v>19</v>
      </c>
      <c r="K444" t="s">
        <v>20</v>
      </c>
      <c r="L444" t="s">
        <v>112</v>
      </c>
      <c r="M444" t="s">
        <v>31</v>
      </c>
    </row>
    <row r="445" spans="1:13" x14ac:dyDescent="0.3">
      <c r="A445" t="s">
        <v>794</v>
      </c>
      <c r="B445" t="s">
        <v>795</v>
      </c>
      <c r="C445">
        <v>26</v>
      </c>
      <c r="D445" t="s">
        <v>34</v>
      </c>
      <c r="E445" t="s">
        <v>25</v>
      </c>
      <c r="F445" t="s">
        <v>89</v>
      </c>
      <c r="G445" t="s">
        <v>18</v>
      </c>
      <c r="H445">
        <v>118045.36</v>
      </c>
      <c r="I445">
        <v>20</v>
      </c>
      <c r="J445" t="s">
        <v>19</v>
      </c>
      <c r="K445" t="s">
        <v>74</v>
      </c>
      <c r="L445" t="s">
        <v>30</v>
      </c>
      <c r="M445" t="s">
        <v>58</v>
      </c>
    </row>
    <row r="446" spans="1:13" x14ac:dyDescent="0.3">
      <c r="A446" t="s">
        <v>796</v>
      </c>
      <c r="B446" t="s">
        <v>203</v>
      </c>
      <c r="C446">
        <v>69</v>
      </c>
      <c r="D446" t="s">
        <v>15</v>
      </c>
      <c r="E446" t="s">
        <v>25</v>
      </c>
      <c r="F446" t="s">
        <v>89</v>
      </c>
      <c r="G446" t="s">
        <v>43</v>
      </c>
      <c r="H446">
        <v>86436.09</v>
      </c>
      <c r="I446">
        <v>12</v>
      </c>
      <c r="J446" t="s">
        <v>19</v>
      </c>
      <c r="K446" t="s">
        <v>29</v>
      </c>
      <c r="L446" t="s">
        <v>112</v>
      </c>
      <c r="M446" t="s">
        <v>58</v>
      </c>
    </row>
    <row r="447" spans="1:13" x14ac:dyDescent="0.3">
      <c r="A447" t="s">
        <v>797</v>
      </c>
      <c r="B447" t="s">
        <v>798</v>
      </c>
      <c r="C447">
        <v>48</v>
      </c>
      <c r="D447" t="s">
        <v>15</v>
      </c>
      <c r="E447" t="s">
        <v>83</v>
      </c>
      <c r="F447" t="s">
        <v>61</v>
      </c>
      <c r="G447" t="s">
        <v>36</v>
      </c>
      <c r="H447">
        <v>106453.88</v>
      </c>
      <c r="I447">
        <v>4</v>
      </c>
      <c r="J447" t="s">
        <v>28</v>
      </c>
      <c r="K447" t="s">
        <v>29</v>
      </c>
      <c r="L447" t="s">
        <v>112</v>
      </c>
      <c r="M447" t="s">
        <v>22</v>
      </c>
    </row>
    <row r="448" spans="1:13" x14ac:dyDescent="0.3">
      <c r="A448" t="s">
        <v>799</v>
      </c>
      <c r="B448" t="s">
        <v>184</v>
      </c>
      <c r="C448">
        <v>17</v>
      </c>
      <c r="D448" t="s">
        <v>15</v>
      </c>
      <c r="E448" t="s">
        <v>117</v>
      </c>
      <c r="F448" t="s">
        <v>89</v>
      </c>
      <c r="G448" t="s">
        <v>80</v>
      </c>
      <c r="H448">
        <v>129400.68</v>
      </c>
      <c r="I448">
        <v>17</v>
      </c>
      <c r="J448" t="s">
        <v>19</v>
      </c>
      <c r="K448" t="s">
        <v>50</v>
      </c>
      <c r="L448" t="s">
        <v>21</v>
      </c>
      <c r="M448" t="s">
        <v>22</v>
      </c>
    </row>
    <row r="449" spans="1:13" x14ac:dyDescent="0.3">
      <c r="A449" t="s">
        <v>800</v>
      </c>
      <c r="B449" t="s">
        <v>801</v>
      </c>
      <c r="C449">
        <v>60</v>
      </c>
      <c r="D449" t="s">
        <v>15</v>
      </c>
      <c r="E449" t="s">
        <v>83</v>
      </c>
      <c r="F449" t="s">
        <v>79</v>
      </c>
      <c r="G449" t="s">
        <v>80</v>
      </c>
      <c r="H449">
        <v>147394.89000000001</v>
      </c>
      <c r="I449">
        <v>4</v>
      </c>
      <c r="J449" t="s">
        <v>19</v>
      </c>
      <c r="K449" t="s">
        <v>69</v>
      </c>
      <c r="L449" t="s">
        <v>30</v>
      </c>
      <c r="M449" t="s">
        <v>58</v>
      </c>
    </row>
    <row r="450" spans="1:13" x14ac:dyDescent="0.3">
      <c r="A450" t="s">
        <v>802</v>
      </c>
      <c r="B450" t="s">
        <v>803</v>
      </c>
      <c r="C450">
        <v>59</v>
      </c>
      <c r="D450" t="s">
        <v>15</v>
      </c>
      <c r="E450" t="s">
        <v>83</v>
      </c>
      <c r="F450" t="s">
        <v>89</v>
      </c>
      <c r="G450" t="s">
        <v>54</v>
      </c>
      <c r="H450">
        <v>147364.23000000001</v>
      </c>
      <c r="I450">
        <v>16</v>
      </c>
      <c r="J450" t="s">
        <v>28</v>
      </c>
      <c r="K450" t="s">
        <v>55</v>
      </c>
      <c r="L450" t="s">
        <v>40</v>
      </c>
      <c r="M450" t="s">
        <v>31</v>
      </c>
    </row>
    <row r="451" spans="1:13" x14ac:dyDescent="0.3">
      <c r="A451" t="s">
        <v>804</v>
      </c>
      <c r="B451" t="s">
        <v>805</v>
      </c>
      <c r="C451">
        <v>77</v>
      </c>
      <c r="D451" t="s">
        <v>15</v>
      </c>
      <c r="E451" t="s">
        <v>25</v>
      </c>
      <c r="F451" t="s">
        <v>84</v>
      </c>
      <c r="G451" t="s">
        <v>80</v>
      </c>
      <c r="H451">
        <v>27310.92</v>
      </c>
      <c r="I451">
        <v>3</v>
      </c>
      <c r="J451" t="s">
        <v>28</v>
      </c>
      <c r="K451" t="s">
        <v>39</v>
      </c>
      <c r="L451" t="s">
        <v>21</v>
      </c>
      <c r="M451" t="s">
        <v>58</v>
      </c>
    </row>
    <row r="452" spans="1:13" x14ac:dyDescent="0.3">
      <c r="A452" t="s">
        <v>806</v>
      </c>
      <c r="B452" t="s">
        <v>661</v>
      </c>
      <c r="C452">
        <v>1</v>
      </c>
      <c r="D452" t="s">
        <v>34</v>
      </c>
      <c r="E452" t="s">
        <v>117</v>
      </c>
      <c r="F452" t="s">
        <v>84</v>
      </c>
      <c r="G452" t="s">
        <v>27</v>
      </c>
      <c r="H452">
        <v>88228.82</v>
      </c>
      <c r="I452">
        <v>4</v>
      </c>
      <c r="J452" t="s">
        <v>28</v>
      </c>
      <c r="K452" t="s">
        <v>74</v>
      </c>
      <c r="L452" t="s">
        <v>112</v>
      </c>
      <c r="M452" t="s">
        <v>58</v>
      </c>
    </row>
    <row r="453" spans="1:13" x14ac:dyDescent="0.3">
      <c r="A453" t="s">
        <v>807</v>
      </c>
      <c r="B453" t="s">
        <v>808</v>
      </c>
      <c r="C453">
        <v>12</v>
      </c>
      <c r="D453" t="s">
        <v>34</v>
      </c>
      <c r="E453" t="s">
        <v>25</v>
      </c>
      <c r="F453" t="s">
        <v>84</v>
      </c>
      <c r="G453" t="s">
        <v>36</v>
      </c>
      <c r="H453">
        <v>74103.710000000006</v>
      </c>
      <c r="I453">
        <v>16</v>
      </c>
      <c r="J453" t="s">
        <v>28</v>
      </c>
      <c r="K453" t="s">
        <v>55</v>
      </c>
      <c r="L453" t="s">
        <v>30</v>
      </c>
      <c r="M453" t="s">
        <v>58</v>
      </c>
    </row>
    <row r="454" spans="1:13" x14ac:dyDescent="0.3">
      <c r="A454" t="s">
        <v>809</v>
      </c>
      <c r="B454" t="s">
        <v>452</v>
      </c>
      <c r="C454">
        <v>15</v>
      </c>
      <c r="D454" t="s">
        <v>15</v>
      </c>
      <c r="E454" t="s">
        <v>16</v>
      </c>
      <c r="F454" t="s">
        <v>26</v>
      </c>
      <c r="G454" t="s">
        <v>36</v>
      </c>
      <c r="H454">
        <v>115473.24</v>
      </c>
      <c r="I454">
        <v>4</v>
      </c>
      <c r="J454" t="s">
        <v>19</v>
      </c>
      <c r="K454" t="s">
        <v>74</v>
      </c>
      <c r="L454" t="s">
        <v>112</v>
      </c>
      <c r="M454" t="s">
        <v>22</v>
      </c>
    </row>
    <row r="455" spans="1:13" x14ac:dyDescent="0.3">
      <c r="A455" t="s">
        <v>810</v>
      </c>
      <c r="B455" t="s">
        <v>811</v>
      </c>
      <c r="C455">
        <v>46</v>
      </c>
      <c r="D455" t="s">
        <v>15</v>
      </c>
      <c r="E455" t="s">
        <v>25</v>
      </c>
      <c r="F455" t="s">
        <v>17</v>
      </c>
      <c r="G455" t="s">
        <v>80</v>
      </c>
      <c r="H455">
        <v>51972.62</v>
      </c>
      <c r="I455">
        <v>2</v>
      </c>
      <c r="J455" t="s">
        <v>28</v>
      </c>
      <c r="K455" t="s">
        <v>20</v>
      </c>
      <c r="L455" t="s">
        <v>40</v>
      </c>
      <c r="M455" t="s">
        <v>22</v>
      </c>
    </row>
    <row r="456" spans="1:13" x14ac:dyDescent="0.3">
      <c r="A456" t="s">
        <v>812</v>
      </c>
      <c r="B456" t="s">
        <v>346</v>
      </c>
      <c r="C456">
        <v>11</v>
      </c>
      <c r="D456" t="s">
        <v>34</v>
      </c>
      <c r="E456" t="s">
        <v>83</v>
      </c>
      <c r="F456" t="s">
        <v>17</v>
      </c>
      <c r="G456" t="s">
        <v>54</v>
      </c>
      <c r="H456">
        <v>135440.74</v>
      </c>
      <c r="I456">
        <v>12</v>
      </c>
      <c r="J456" t="s">
        <v>28</v>
      </c>
      <c r="K456" t="s">
        <v>74</v>
      </c>
      <c r="L456" t="s">
        <v>45</v>
      </c>
      <c r="M456" t="s">
        <v>58</v>
      </c>
    </row>
    <row r="457" spans="1:13" x14ac:dyDescent="0.3">
      <c r="A457" t="s">
        <v>813</v>
      </c>
      <c r="B457" t="s">
        <v>814</v>
      </c>
      <c r="C457">
        <v>3</v>
      </c>
      <c r="D457" t="s">
        <v>15</v>
      </c>
      <c r="E457" t="s">
        <v>16</v>
      </c>
      <c r="F457" t="s">
        <v>79</v>
      </c>
      <c r="G457" t="s">
        <v>27</v>
      </c>
      <c r="H457">
        <v>85388.86</v>
      </c>
      <c r="I457">
        <v>4</v>
      </c>
      <c r="J457" t="s">
        <v>19</v>
      </c>
      <c r="K457" t="s">
        <v>44</v>
      </c>
      <c r="L457" t="s">
        <v>21</v>
      </c>
      <c r="M457" t="s">
        <v>58</v>
      </c>
    </row>
    <row r="458" spans="1:13" x14ac:dyDescent="0.3">
      <c r="A458" t="s">
        <v>815</v>
      </c>
      <c r="B458" t="s">
        <v>222</v>
      </c>
      <c r="C458">
        <v>25</v>
      </c>
      <c r="D458" t="s">
        <v>34</v>
      </c>
      <c r="E458" t="s">
        <v>25</v>
      </c>
      <c r="F458" t="s">
        <v>61</v>
      </c>
      <c r="G458" t="s">
        <v>43</v>
      </c>
      <c r="H458">
        <v>99485.89</v>
      </c>
      <c r="I458">
        <v>3</v>
      </c>
      <c r="J458" t="s">
        <v>28</v>
      </c>
      <c r="K458" t="s">
        <v>20</v>
      </c>
      <c r="L458" t="s">
        <v>51</v>
      </c>
      <c r="M458" t="s">
        <v>22</v>
      </c>
    </row>
    <row r="459" spans="1:13" x14ac:dyDescent="0.3">
      <c r="A459" t="s">
        <v>816</v>
      </c>
      <c r="B459" t="s">
        <v>817</v>
      </c>
      <c r="C459">
        <v>70</v>
      </c>
      <c r="D459" t="s">
        <v>15</v>
      </c>
      <c r="E459" t="s">
        <v>64</v>
      </c>
      <c r="F459" t="s">
        <v>84</v>
      </c>
      <c r="G459" t="s">
        <v>18</v>
      </c>
      <c r="H459">
        <v>126873.64</v>
      </c>
      <c r="I459">
        <v>15</v>
      </c>
      <c r="J459" t="s">
        <v>28</v>
      </c>
      <c r="K459" t="s">
        <v>44</v>
      </c>
      <c r="L459" t="s">
        <v>112</v>
      </c>
      <c r="M459" t="s">
        <v>22</v>
      </c>
    </row>
    <row r="460" spans="1:13" x14ac:dyDescent="0.3">
      <c r="A460" t="s">
        <v>818</v>
      </c>
      <c r="B460" t="s">
        <v>819</v>
      </c>
      <c r="C460">
        <v>68</v>
      </c>
      <c r="D460" t="s">
        <v>34</v>
      </c>
      <c r="E460" t="s">
        <v>64</v>
      </c>
      <c r="F460" t="s">
        <v>84</v>
      </c>
      <c r="G460" t="s">
        <v>43</v>
      </c>
      <c r="H460">
        <v>19415.68</v>
      </c>
      <c r="I460">
        <v>15</v>
      </c>
      <c r="J460" t="s">
        <v>19</v>
      </c>
      <c r="K460" t="s">
        <v>69</v>
      </c>
      <c r="L460" t="s">
        <v>112</v>
      </c>
      <c r="M460" t="s">
        <v>31</v>
      </c>
    </row>
    <row r="461" spans="1:13" x14ac:dyDescent="0.3">
      <c r="A461" t="s">
        <v>820</v>
      </c>
      <c r="B461" t="s">
        <v>821</v>
      </c>
      <c r="C461">
        <v>90</v>
      </c>
      <c r="D461" t="s">
        <v>15</v>
      </c>
      <c r="E461" t="s">
        <v>117</v>
      </c>
      <c r="F461" t="s">
        <v>84</v>
      </c>
      <c r="G461" t="s">
        <v>80</v>
      </c>
      <c r="H461">
        <v>31199.48</v>
      </c>
      <c r="I461">
        <v>17</v>
      </c>
      <c r="J461" t="s">
        <v>19</v>
      </c>
      <c r="K461" t="s">
        <v>39</v>
      </c>
      <c r="L461" t="s">
        <v>51</v>
      </c>
      <c r="M461" t="s">
        <v>58</v>
      </c>
    </row>
    <row r="462" spans="1:13" x14ac:dyDescent="0.3">
      <c r="A462" t="s">
        <v>822</v>
      </c>
      <c r="B462" t="s">
        <v>420</v>
      </c>
      <c r="C462">
        <v>49</v>
      </c>
      <c r="D462" t="s">
        <v>15</v>
      </c>
      <c r="E462" t="s">
        <v>35</v>
      </c>
      <c r="F462" t="s">
        <v>84</v>
      </c>
      <c r="G462" t="s">
        <v>43</v>
      </c>
      <c r="H462">
        <v>82671.350000000006</v>
      </c>
      <c r="I462">
        <v>6</v>
      </c>
      <c r="J462" t="s">
        <v>19</v>
      </c>
      <c r="K462" t="s">
        <v>44</v>
      </c>
      <c r="L462" t="s">
        <v>40</v>
      </c>
      <c r="M462" t="s">
        <v>22</v>
      </c>
    </row>
    <row r="463" spans="1:13" x14ac:dyDescent="0.3">
      <c r="A463" t="s">
        <v>823</v>
      </c>
      <c r="B463" t="s">
        <v>160</v>
      </c>
      <c r="C463">
        <v>66</v>
      </c>
      <c r="D463" t="s">
        <v>15</v>
      </c>
      <c r="E463" t="s">
        <v>16</v>
      </c>
      <c r="F463" t="s">
        <v>89</v>
      </c>
      <c r="G463" t="s">
        <v>18</v>
      </c>
      <c r="H463">
        <v>51470.06</v>
      </c>
      <c r="I463">
        <v>9</v>
      </c>
      <c r="J463" t="s">
        <v>19</v>
      </c>
      <c r="K463" t="s">
        <v>20</v>
      </c>
      <c r="L463" t="s">
        <v>45</v>
      </c>
      <c r="M463" t="s">
        <v>31</v>
      </c>
    </row>
    <row r="464" spans="1:13" x14ac:dyDescent="0.3">
      <c r="A464" t="s">
        <v>824</v>
      </c>
      <c r="B464" t="s">
        <v>705</v>
      </c>
      <c r="C464">
        <v>83</v>
      </c>
      <c r="D464" t="s">
        <v>34</v>
      </c>
      <c r="E464" t="s">
        <v>25</v>
      </c>
      <c r="F464" t="s">
        <v>84</v>
      </c>
      <c r="G464" t="s">
        <v>36</v>
      </c>
      <c r="H464">
        <v>99608.87</v>
      </c>
      <c r="I464">
        <v>6</v>
      </c>
      <c r="J464" t="s">
        <v>19</v>
      </c>
      <c r="K464" t="s">
        <v>74</v>
      </c>
      <c r="L464" t="s">
        <v>51</v>
      </c>
      <c r="M464" t="s">
        <v>58</v>
      </c>
    </row>
    <row r="465" spans="1:13" x14ac:dyDescent="0.3">
      <c r="A465" t="s">
        <v>825</v>
      </c>
      <c r="B465" t="s">
        <v>125</v>
      </c>
      <c r="C465">
        <v>17</v>
      </c>
      <c r="D465" t="s">
        <v>15</v>
      </c>
      <c r="E465" t="s">
        <v>16</v>
      </c>
      <c r="F465" t="s">
        <v>26</v>
      </c>
      <c r="G465" t="s">
        <v>80</v>
      </c>
      <c r="H465">
        <v>89503.25</v>
      </c>
      <c r="I465">
        <v>19</v>
      </c>
      <c r="J465" t="s">
        <v>28</v>
      </c>
      <c r="K465" t="s">
        <v>74</v>
      </c>
      <c r="L465" t="s">
        <v>51</v>
      </c>
      <c r="M465" t="s">
        <v>58</v>
      </c>
    </row>
    <row r="466" spans="1:13" x14ac:dyDescent="0.3">
      <c r="A466" t="s">
        <v>826</v>
      </c>
      <c r="B466" t="s">
        <v>344</v>
      </c>
      <c r="C466">
        <v>11</v>
      </c>
      <c r="D466" t="s">
        <v>15</v>
      </c>
      <c r="E466" t="s">
        <v>64</v>
      </c>
      <c r="F466" t="s">
        <v>89</v>
      </c>
      <c r="G466" t="s">
        <v>18</v>
      </c>
      <c r="H466">
        <v>15067.81</v>
      </c>
      <c r="I466">
        <v>19</v>
      </c>
      <c r="J466" t="s">
        <v>19</v>
      </c>
      <c r="K466" t="s">
        <v>50</v>
      </c>
      <c r="L466" t="s">
        <v>30</v>
      </c>
      <c r="M466" t="s">
        <v>31</v>
      </c>
    </row>
    <row r="467" spans="1:13" x14ac:dyDescent="0.3">
      <c r="A467" t="s">
        <v>827</v>
      </c>
      <c r="B467" t="s">
        <v>340</v>
      </c>
      <c r="C467">
        <v>58</v>
      </c>
      <c r="D467" t="s">
        <v>34</v>
      </c>
      <c r="E467" t="s">
        <v>16</v>
      </c>
      <c r="F467" t="s">
        <v>79</v>
      </c>
      <c r="G467" t="s">
        <v>18</v>
      </c>
      <c r="H467">
        <v>52797.15</v>
      </c>
      <c r="I467">
        <v>19</v>
      </c>
      <c r="J467" t="s">
        <v>19</v>
      </c>
      <c r="K467" t="s">
        <v>29</v>
      </c>
      <c r="L467" t="s">
        <v>21</v>
      </c>
      <c r="M467" t="s">
        <v>31</v>
      </c>
    </row>
    <row r="468" spans="1:13" x14ac:dyDescent="0.3">
      <c r="A468" t="s">
        <v>828</v>
      </c>
      <c r="B468" t="s">
        <v>829</v>
      </c>
      <c r="C468">
        <v>23</v>
      </c>
      <c r="D468" t="s">
        <v>34</v>
      </c>
      <c r="E468" t="s">
        <v>83</v>
      </c>
      <c r="F468" t="s">
        <v>26</v>
      </c>
      <c r="G468" t="s">
        <v>54</v>
      </c>
      <c r="H468">
        <v>66789.58</v>
      </c>
      <c r="I468">
        <v>2</v>
      </c>
      <c r="J468" t="s">
        <v>28</v>
      </c>
      <c r="K468" t="s">
        <v>39</v>
      </c>
      <c r="L468" t="s">
        <v>21</v>
      </c>
      <c r="M468" t="s">
        <v>31</v>
      </c>
    </row>
    <row r="469" spans="1:13" x14ac:dyDescent="0.3">
      <c r="A469" t="s">
        <v>830</v>
      </c>
      <c r="B469" t="s">
        <v>831</v>
      </c>
      <c r="C469">
        <v>59</v>
      </c>
      <c r="D469" t="s">
        <v>15</v>
      </c>
      <c r="E469" t="s">
        <v>35</v>
      </c>
      <c r="F469" t="s">
        <v>84</v>
      </c>
      <c r="G469" t="s">
        <v>18</v>
      </c>
      <c r="H469">
        <v>58897.66</v>
      </c>
      <c r="I469">
        <v>3</v>
      </c>
      <c r="J469" t="s">
        <v>19</v>
      </c>
      <c r="K469" t="s">
        <v>55</v>
      </c>
      <c r="L469" t="s">
        <v>45</v>
      </c>
      <c r="M469" t="s">
        <v>22</v>
      </c>
    </row>
    <row r="470" spans="1:13" x14ac:dyDescent="0.3">
      <c r="A470" t="s">
        <v>832</v>
      </c>
      <c r="B470" t="s">
        <v>833</v>
      </c>
      <c r="C470">
        <v>80</v>
      </c>
      <c r="D470" t="s">
        <v>34</v>
      </c>
      <c r="E470" t="s">
        <v>117</v>
      </c>
      <c r="F470" t="s">
        <v>89</v>
      </c>
      <c r="G470" t="s">
        <v>80</v>
      </c>
      <c r="H470">
        <v>72956.25</v>
      </c>
      <c r="I470">
        <v>17</v>
      </c>
      <c r="J470" t="s">
        <v>28</v>
      </c>
      <c r="K470" t="s">
        <v>55</v>
      </c>
      <c r="L470" t="s">
        <v>112</v>
      </c>
      <c r="M470" t="s">
        <v>22</v>
      </c>
    </row>
    <row r="471" spans="1:13" x14ac:dyDescent="0.3">
      <c r="A471" t="s">
        <v>834</v>
      </c>
      <c r="B471" t="s">
        <v>835</v>
      </c>
      <c r="C471">
        <v>29</v>
      </c>
      <c r="D471" t="s">
        <v>15</v>
      </c>
      <c r="E471" t="s">
        <v>35</v>
      </c>
      <c r="F471" t="s">
        <v>89</v>
      </c>
      <c r="G471" t="s">
        <v>36</v>
      </c>
      <c r="H471">
        <v>97116.55</v>
      </c>
      <c r="I471">
        <v>4</v>
      </c>
      <c r="J471" t="s">
        <v>28</v>
      </c>
      <c r="K471" t="s">
        <v>44</v>
      </c>
      <c r="L471" t="s">
        <v>112</v>
      </c>
      <c r="M471" t="s">
        <v>58</v>
      </c>
    </row>
    <row r="472" spans="1:13" x14ac:dyDescent="0.3">
      <c r="A472" t="s">
        <v>836</v>
      </c>
      <c r="B472" t="s">
        <v>837</v>
      </c>
      <c r="C472">
        <v>8</v>
      </c>
      <c r="D472" t="s">
        <v>34</v>
      </c>
      <c r="E472" t="s">
        <v>117</v>
      </c>
      <c r="F472" t="s">
        <v>79</v>
      </c>
      <c r="G472" t="s">
        <v>80</v>
      </c>
      <c r="H472">
        <v>37588.019999999997</v>
      </c>
      <c r="I472">
        <v>14</v>
      </c>
      <c r="J472" t="s">
        <v>19</v>
      </c>
      <c r="K472" t="s">
        <v>55</v>
      </c>
      <c r="L472" t="s">
        <v>30</v>
      </c>
      <c r="M472" t="s">
        <v>22</v>
      </c>
    </row>
    <row r="473" spans="1:13" x14ac:dyDescent="0.3">
      <c r="A473" t="s">
        <v>838</v>
      </c>
      <c r="B473" t="s">
        <v>839</v>
      </c>
      <c r="C473">
        <v>23</v>
      </c>
      <c r="D473" t="s">
        <v>15</v>
      </c>
      <c r="E473" t="s">
        <v>64</v>
      </c>
      <c r="F473" t="s">
        <v>79</v>
      </c>
      <c r="G473" t="s">
        <v>80</v>
      </c>
      <c r="H473">
        <v>47930.21</v>
      </c>
      <c r="I473">
        <v>9</v>
      </c>
      <c r="J473" t="s">
        <v>28</v>
      </c>
      <c r="K473" t="s">
        <v>44</v>
      </c>
      <c r="L473" t="s">
        <v>45</v>
      </c>
      <c r="M473" t="s">
        <v>58</v>
      </c>
    </row>
    <row r="474" spans="1:13" x14ac:dyDescent="0.3">
      <c r="A474" t="s">
        <v>840</v>
      </c>
      <c r="B474" t="s">
        <v>841</v>
      </c>
      <c r="C474">
        <v>37</v>
      </c>
      <c r="D474" t="s">
        <v>34</v>
      </c>
      <c r="E474" t="s">
        <v>64</v>
      </c>
      <c r="F474" t="s">
        <v>89</v>
      </c>
      <c r="G474" t="s">
        <v>54</v>
      </c>
      <c r="H474">
        <v>107446.04</v>
      </c>
      <c r="I474">
        <v>8</v>
      </c>
      <c r="J474" t="s">
        <v>28</v>
      </c>
      <c r="K474" t="s">
        <v>74</v>
      </c>
      <c r="L474" t="s">
        <v>21</v>
      </c>
      <c r="M474" t="s">
        <v>22</v>
      </c>
    </row>
    <row r="475" spans="1:13" x14ac:dyDescent="0.3">
      <c r="A475" t="s">
        <v>842</v>
      </c>
      <c r="B475" t="s">
        <v>817</v>
      </c>
      <c r="C475">
        <v>33</v>
      </c>
      <c r="D475" t="s">
        <v>15</v>
      </c>
      <c r="E475" t="s">
        <v>117</v>
      </c>
      <c r="F475" t="s">
        <v>26</v>
      </c>
      <c r="G475" t="s">
        <v>80</v>
      </c>
      <c r="H475">
        <v>118827.5</v>
      </c>
      <c r="I475">
        <v>20</v>
      </c>
      <c r="J475" t="s">
        <v>28</v>
      </c>
      <c r="K475" t="s">
        <v>44</v>
      </c>
      <c r="L475" t="s">
        <v>30</v>
      </c>
      <c r="M475" t="s">
        <v>22</v>
      </c>
    </row>
    <row r="476" spans="1:13" x14ac:dyDescent="0.3">
      <c r="A476" t="s">
        <v>843</v>
      </c>
      <c r="B476" t="s">
        <v>166</v>
      </c>
      <c r="C476">
        <v>49</v>
      </c>
      <c r="D476" t="s">
        <v>15</v>
      </c>
      <c r="E476" t="s">
        <v>16</v>
      </c>
      <c r="F476" t="s">
        <v>89</v>
      </c>
      <c r="G476" t="s">
        <v>54</v>
      </c>
      <c r="H476">
        <v>32537.61</v>
      </c>
      <c r="I476">
        <v>14</v>
      </c>
      <c r="J476" t="s">
        <v>28</v>
      </c>
      <c r="K476" t="s">
        <v>69</v>
      </c>
      <c r="L476" t="s">
        <v>21</v>
      </c>
      <c r="M476" t="s">
        <v>58</v>
      </c>
    </row>
    <row r="477" spans="1:13" x14ac:dyDescent="0.3">
      <c r="A477" t="s">
        <v>844</v>
      </c>
      <c r="B477" t="s">
        <v>845</v>
      </c>
      <c r="C477">
        <v>56</v>
      </c>
      <c r="D477" t="s">
        <v>34</v>
      </c>
      <c r="E477" t="s">
        <v>83</v>
      </c>
      <c r="F477" t="s">
        <v>26</v>
      </c>
      <c r="G477" t="s">
        <v>80</v>
      </c>
      <c r="H477">
        <v>82761.740000000005</v>
      </c>
      <c r="I477">
        <v>15</v>
      </c>
      <c r="J477" t="s">
        <v>28</v>
      </c>
      <c r="K477" t="s">
        <v>69</v>
      </c>
      <c r="L477" t="s">
        <v>45</v>
      </c>
      <c r="M477" t="s">
        <v>22</v>
      </c>
    </row>
    <row r="478" spans="1:13" x14ac:dyDescent="0.3">
      <c r="A478" t="s">
        <v>846</v>
      </c>
      <c r="B478" t="s">
        <v>847</v>
      </c>
      <c r="C478">
        <v>79</v>
      </c>
      <c r="D478" t="s">
        <v>15</v>
      </c>
      <c r="E478" t="s">
        <v>83</v>
      </c>
      <c r="F478" t="s">
        <v>17</v>
      </c>
      <c r="G478" t="s">
        <v>43</v>
      </c>
      <c r="H478">
        <v>126136.32000000001</v>
      </c>
      <c r="I478">
        <v>7</v>
      </c>
      <c r="J478" t="s">
        <v>28</v>
      </c>
      <c r="K478" t="s">
        <v>44</v>
      </c>
      <c r="L478" t="s">
        <v>112</v>
      </c>
      <c r="M478" t="s">
        <v>58</v>
      </c>
    </row>
    <row r="479" spans="1:13" x14ac:dyDescent="0.3">
      <c r="A479" t="s">
        <v>848</v>
      </c>
      <c r="B479" t="s">
        <v>849</v>
      </c>
      <c r="C479">
        <v>17</v>
      </c>
      <c r="D479" t="s">
        <v>15</v>
      </c>
      <c r="E479" t="s">
        <v>117</v>
      </c>
      <c r="F479" t="s">
        <v>17</v>
      </c>
      <c r="G479" t="s">
        <v>36</v>
      </c>
      <c r="H479">
        <v>148761.28</v>
      </c>
      <c r="I479">
        <v>10</v>
      </c>
      <c r="J479" t="s">
        <v>19</v>
      </c>
      <c r="K479" t="s">
        <v>74</v>
      </c>
      <c r="L479" t="s">
        <v>112</v>
      </c>
      <c r="M479" t="s">
        <v>58</v>
      </c>
    </row>
    <row r="480" spans="1:13" x14ac:dyDescent="0.3">
      <c r="A480" t="s">
        <v>850</v>
      </c>
      <c r="B480" t="s">
        <v>428</v>
      </c>
      <c r="C480">
        <v>56</v>
      </c>
      <c r="D480" t="s">
        <v>34</v>
      </c>
      <c r="E480" t="s">
        <v>64</v>
      </c>
      <c r="F480" t="s">
        <v>26</v>
      </c>
      <c r="G480" t="s">
        <v>54</v>
      </c>
      <c r="H480">
        <v>53101.19</v>
      </c>
      <c r="I480">
        <v>8</v>
      </c>
      <c r="J480" t="s">
        <v>19</v>
      </c>
      <c r="K480" t="s">
        <v>50</v>
      </c>
      <c r="L480" t="s">
        <v>112</v>
      </c>
      <c r="M480" t="s">
        <v>58</v>
      </c>
    </row>
    <row r="481" spans="1:13" x14ac:dyDescent="0.3">
      <c r="A481" t="s">
        <v>851</v>
      </c>
      <c r="B481" t="s">
        <v>852</v>
      </c>
      <c r="C481">
        <v>74</v>
      </c>
      <c r="D481" t="s">
        <v>34</v>
      </c>
      <c r="E481" t="s">
        <v>35</v>
      </c>
      <c r="F481" t="s">
        <v>26</v>
      </c>
      <c r="G481" t="s">
        <v>43</v>
      </c>
      <c r="H481">
        <v>59583.31</v>
      </c>
      <c r="I481">
        <v>4</v>
      </c>
      <c r="J481" t="s">
        <v>28</v>
      </c>
      <c r="K481" t="s">
        <v>39</v>
      </c>
      <c r="L481" t="s">
        <v>30</v>
      </c>
      <c r="M481" t="s">
        <v>58</v>
      </c>
    </row>
    <row r="482" spans="1:13" x14ac:dyDescent="0.3">
      <c r="A482" t="s">
        <v>853</v>
      </c>
      <c r="B482" t="s">
        <v>854</v>
      </c>
      <c r="C482">
        <v>58</v>
      </c>
      <c r="D482" t="s">
        <v>15</v>
      </c>
      <c r="E482" t="s">
        <v>16</v>
      </c>
      <c r="F482" t="s">
        <v>17</v>
      </c>
      <c r="G482" t="s">
        <v>43</v>
      </c>
      <c r="H482">
        <v>4377.6000000000004</v>
      </c>
      <c r="I482">
        <v>13</v>
      </c>
      <c r="J482" t="s">
        <v>19</v>
      </c>
      <c r="K482" t="s">
        <v>55</v>
      </c>
      <c r="L482" t="s">
        <v>45</v>
      </c>
      <c r="M482" t="s">
        <v>31</v>
      </c>
    </row>
    <row r="483" spans="1:13" x14ac:dyDescent="0.3">
      <c r="A483" t="s">
        <v>855</v>
      </c>
      <c r="B483" t="s">
        <v>567</v>
      </c>
      <c r="C483">
        <v>23</v>
      </c>
      <c r="D483" t="s">
        <v>34</v>
      </c>
      <c r="E483" t="s">
        <v>16</v>
      </c>
      <c r="F483" t="s">
        <v>79</v>
      </c>
      <c r="G483" t="s">
        <v>27</v>
      </c>
      <c r="H483">
        <v>12628.96</v>
      </c>
      <c r="I483">
        <v>10</v>
      </c>
      <c r="J483" t="s">
        <v>19</v>
      </c>
      <c r="K483" t="s">
        <v>50</v>
      </c>
      <c r="L483" t="s">
        <v>51</v>
      </c>
      <c r="M483" t="s">
        <v>31</v>
      </c>
    </row>
    <row r="484" spans="1:13" x14ac:dyDescent="0.3">
      <c r="A484" t="s">
        <v>856</v>
      </c>
      <c r="B484" t="s">
        <v>857</v>
      </c>
      <c r="C484">
        <v>33</v>
      </c>
      <c r="D484" t="s">
        <v>34</v>
      </c>
      <c r="E484" t="s">
        <v>83</v>
      </c>
      <c r="F484" t="s">
        <v>89</v>
      </c>
      <c r="G484" t="s">
        <v>27</v>
      </c>
      <c r="H484">
        <v>141021.48000000001</v>
      </c>
      <c r="I484">
        <v>9</v>
      </c>
      <c r="J484" t="s">
        <v>28</v>
      </c>
      <c r="K484" t="s">
        <v>20</v>
      </c>
      <c r="L484" t="s">
        <v>45</v>
      </c>
      <c r="M484" t="s">
        <v>58</v>
      </c>
    </row>
    <row r="485" spans="1:13" x14ac:dyDescent="0.3">
      <c r="A485" t="s">
        <v>858</v>
      </c>
      <c r="B485" t="s">
        <v>581</v>
      </c>
      <c r="C485">
        <v>87</v>
      </c>
      <c r="D485" t="s">
        <v>34</v>
      </c>
      <c r="E485" t="s">
        <v>16</v>
      </c>
      <c r="F485" t="s">
        <v>79</v>
      </c>
      <c r="G485" t="s">
        <v>27</v>
      </c>
      <c r="H485">
        <v>24010.86</v>
      </c>
      <c r="I485">
        <v>16</v>
      </c>
      <c r="J485" t="s">
        <v>19</v>
      </c>
      <c r="K485" t="s">
        <v>20</v>
      </c>
      <c r="L485" t="s">
        <v>112</v>
      </c>
      <c r="M485" t="s">
        <v>31</v>
      </c>
    </row>
    <row r="486" spans="1:13" x14ac:dyDescent="0.3">
      <c r="A486" t="s">
        <v>859</v>
      </c>
      <c r="B486" t="s">
        <v>860</v>
      </c>
      <c r="C486">
        <v>45</v>
      </c>
      <c r="D486" t="s">
        <v>34</v>
      </c>
      <c r="E486" t="s">
        <v>64</v>
      </c>
      <c r="F486" t="s">
        <v>26</v>
      </c>
      <c r="G486" t="s">
        <v>27</v>
      </c>
      <c r="H486">
        <v>90637.04</v>
      </c>
      <c r="I486">
        <v>13</v>
      </c>
      <c r="J486" t="s">
        <v>19</v>
      </c>
      <c r="K486" t="s">
        <v>55</v>
      </c>
      <c r="L486" t="s">
        <v>30</v>
      </c>
      <c r="M486" t="s">
        <v>58</v>
      </c>
    </row>
    <row r="487" spans="1:13" x14ac:dyDescent="0.3">
      <c r="A487" t="s">
        <v>861</v>
      </c>
      <c r="B487" t="s">
        <v>862</v>
      </c>
      <c r="C487">
        <v>61</v>
      </c>
      <c r="D487" t="s">
        <v>15</v>
      </c>
      <c r="E487" t="s">
        <v>25</v>
      </c>
      <c r="F487" t="s">
        <v>61</v>
      </c>
      <c r="G487" t="s">
        <v>18</v>
      </c>
      <c r="H487">
        <v>84446.94</v>
      </c>
      <c r="I487">
        <v>15</v>
      </c>
      <c r="J487" t="s">
        <v>28</v>
      </c>
      <c r="K487" t="s">
        <v>74</v>
      </c>
      <c r="L487" t="s">
        <v>45</v>
      </c>
      <c r="M487" t="s">
        <v>22</v>
      </c>
    </row>
    <row r="488" spans="1:13" x14ac:dyDescent="0.3">
      <c r="A488" t="s">
        <v>863</v>
      </c>
      <c r="B488" t="s">
        <v>166</v>
      </c>
      <c r="C488">
        <v>36</v>
      </c>
      <c r="D488" t="s">
        <v>34</v>
      </c>
      <c r="E488" t="s">
        <v>16</v>
      </c>
      <c r="F488" t="s">
        <v>26</v>
      </c>
      <c r="G488" t="s">
        <v>54</v>
      </c>
      <c r="H488">
        <v>123131.5</v>
      </c>
      <c r="I488">
        <v>20</v>
      </c>
      <c r="J488" t="s">
        <v>28</v>
      </c>
      <c r="K488" t="s">
        <v>20</v>
      </c>
      <c r="L488" t="s">
        <v>51</v>
      </c>
      <c r="M488" t="s">
        <v>31</v>
      </c>
    </row>
    <row r="489" spans="1:13" x14ac:dyDescent="0.3">
      <c r="A489" t="s">
        <v>864</v>
      </c>
      <c r="B489" t="s">
        <v>133</v>
      </c>
      <c r="C489">
        <v>34</v>
      </c>
      <c r="D489" t="s">
        <v>34</v>
      </c>
      <c r="E489" t="s">
        <v>35</v>
      </c>
      <c r="F489" t="s">
        <v>17</v>
      </c>
      <c r="G489" t="s">
        <v>27</v>
      </c>
      <c r="H489">
        <v>96061.74</v>
      </c>
      <c r="I489">
        <v>18</v>
      </c>
      <c r="J489" t="s">
        <v>28</v>
      </c>
      <c r="K489" t="s">
        <v>74</v>
      </c>
      <c r="L489" t="s">
        <v>40</v>
      </c>
      <c r="M489" t="s">
        <v>58</v>
      </c>
    </row>
    <row r="490" spans="1:13" x14ac:dyDescent="0.3">
      <c r="A490" t="s">
        <v>865</v>
      </c>
      <c r="B490" t="s">
        <v>265</v>
      </c>
      <c r="C490">
        <v>23</v>
      </c>
      <c r="D490" t="s">
        <v>34</v>
      </c>
      <c r="E490" t="s">
        <v>117</v>
      </c>
      <c r="F490" t="s">
        <v>26</v>
      </c>
      <c r="G490" t="s">
        <v>43</v>
      </c>
      <c r="H490">
        <v>32360.720000000001</v>
      </c>
      <c r="I490">
        <v>20</v>
      </c>
      <c r="J490" t="s">
        <v>19</v>
      </c>
      <c r="K490" t="s">
        <v>39</v>
      </c>
      <c r="L490" t="s">
        <v>40</v>
      </c>
      <c r="M490" t="s">
        <v>58</v>
      </c>
    </row>
    <row r="491" spans="1:13" x14ac:dyDescent="0.3">
      <c r="A491" t="s">
        <v>866</v>
      </c>
      <c r="B491" t="s">
        <v>867</v>
      </c>
      <c r="C491">
        <v>90</v>
      </c>
      <c r="D491" t="s">
        <v>15</v>
      </c>
      <c r="E491" t="s">
        <v>64</v>
      </c>
      <c r="F491" t="s">
        <v>17</v>
      </c>
      <c r="G491" t="s">
        <v>36</v>
      </c>
      <c r="H491">
        <v>139527.97</v>
      </c>
      <c r="I491">
        <v>12</v>
      </c>
      <c r="J491" t="s">
        <v>19</v>
      </c>
      <c r="K491" t="s">
        <v>44</v>
      </c>
      <c r="L491" t="s">
        <v>30</v>
      </c>
      <c r="M491" t="s">
        <v>31</v>
      </c>
    </row>
    <row r="492" spans="1:13" x14ac:dyDescent="0.3">
      <c r="A492" t="s">
        <v>868</v>
      </c>
      <c r="B492" t="s">
        <v>53</v>
      </c>
      <c r="C492">
        <v>39</v>
      </c>
      <c r="D492" t="s">
        <v>15</v>
      </c>
      <c r="E492" t="s">
        <v>35</v>
      </c>
      <c r="F492" t="s">
        <v>79</v>
      </c>
      <c r="G492" t="s">
        <v>80</v>
      </c>
      <c r="H492">
        <v>17457.310000000001</v>
      </c>
      <c r="I492">
        <v>8</v>
      </c>
      <c r="J492" t="s">
        <v>28</v>
      </c>
      <c r="K492" t="s">
        <v>29</v>
      </c>
      <c r="L492" t="s">
        <v>40</v>
      </c>
      <c r="M492" t="s">
        <v>58</v>
      </c>
    </row>
    <row r="493" spans="1:13" x14ac:dyDescent="0.3">
      <c r="A493" t="s">
        <v>869</v>
      </c>
      <c r="B493" t="s">
        <v>747</v>
      </c>
      <c r="C493">
        <v>76</v>
      </c>
      <c r="D493" t="s">
        <v>34</v>
      </c>
      <c r="E493" t="s">
        <v>35</v>
      </c>
      <c r="F493" t="s">
        <v>61</v>
      </c>
      <c r="G493" t="s">
        <v>54</v>
      </c>
      <c r="H493">
        <v>98157.26</v>
      </c>
      <c r="I493">
        <v>16</v>
      </c>
      <c r="J493" t="s">
        <v>19</v>
      </c>
      <c r="K493" t="s">
        <v>20</v>
      </c>
      <c r="L493" t="s">
        <v>112</v>
      </c>
      <c r="M493" t="s">
        <v>22</v>
      </c>
    </row>
    <row r="494" spans="1:13" x14ac:dyDescent="0.3">
      <c r="A494" t="s">
        <v>870</v>
      </c>
      <c r="B494" t="s">
        <v>653</v>
      </c>
      <c r="C494">
        <v>29</v>
      </c>
      <c r="D494" t="s">
        <v>15</v>
      </c>
      <c r="E494" t="s">
        <v>83</v>
      </c>
      <c r="F494" t="s">
        <v>61</v>
      </c>
      <c r="G494" t="s">
        <v>80</v>
      </c>
      <c r="H494">
        <v>97485.82</v>
      </c>
      <c r="I494">
        <v>15</v>
      </c>
      <c r="J494" t="s">
        <v>19</v>
      </c>
      <c r="K494" t="s">
        <v>74</v>
      </c>
      <c r="L494" t="s">
        <v>112</v>
      </c>
      <c r="M494" t="s">
        <v>22</v>
      </c>
    </row>
    <row r="495" spans="1:13" x14ac:dyDescent="0.3">
      <c r="A495" t="s">
        <v>871</v>
      </c>
      <c r="B495" t="s">
        <v>276</v>
      </c>
      <c r="C495">
        <v>69</v>
      </c>
      <c r="D495" t="s">
        <v>34</v>
      </c>
      <c r="E495" t="s">
        <v>117</v>
      </c>
      <c r="F495" t="s">
        <v>17</v>
      </c>
      <c r="G495" t="s">
        <v>36</v>
      </c>
      <c r="H495">
        <v>107853.21</v>
      </c>
      <c r="I495">
        <v>11</v>
      </c>
      <c r="J495" t="s">
        <v>28</v>
      </c>
      <c r="K495" t="s">
        <v>39</v>
      </c>
      <c r="L495" t="s">
        <v>51</v>
      </c>
      <c r="M495" t="s">
        <v>22</v>
      </c>
    </row>
    <row r="496" spans="1:13" x14ac:dyDescent="0.3">
      <c r="A496" t="s">
        <v>872</v>
      </c>
      <c r="B496" t="s">
        <v>519</v>
      </c>
      <c r="C496">
        <v>14</v>
      </c>
      <c r="D496" t="s">
        <v>34</v>
      </c>
      <c r="E496" t="s">
        <v>83</v>
      </c>
      <c r="F496" t="s">
        <v>26</v>
      </c>
      <c r="G496" t="s">
        <v>43</v>
      </c>
      <c r="H496">
        <v>73938.399999999994</v>
      </c>
      <c r="I496">
        <v>12</v>
      </c>
      <c r="J496" t="s">
        <v>19</v>
      </c>
      <c r="K496" t="s">
        <v>55</v>
      </c>
      <c r="L496" t="s">
        <v>45</v>
      </c>
      <c r="M496" t="s">
        <v>58</v>
      </c>
    </row>
    <row r="497" spans="1:13" x14ac:dyDescent="0.3">
      <c r="A497" t="s">
        <v>873</v>
      </c>
      <c r="B497" t="s">
        <v>874</v>
      </c>
      <c r="C497">
        <v>10</v>
      </c>
      <c r="D497" t="s">
        <v>15</v>
      </c>
      <c r="E497" t="s">
        <v>25</v>
      </c>
      <c r="F497" t="s">
        <v>61</v>
      </c>
      <c r="G497" t="s">
        <v>27</v>
      </c>
      <c r="H497">
        <v>50508.32</v>
      </c>
      <c r="I497">
        <v>20</v>
      </c>
      <c r="J497" t="s">
        <v>19</v>
      </c>
      <c r="K497" t="s">
        <v>39</v>
      </c>
      <c r="L497" t="s">
        <v>112</v>
      </c>
      <c r="M497" t="s">
        <v>31</v>
      </c>
    </row>
    <row r="498" spans="1:13" x14ac:dyDescent="0.3">
      <c r="A498" t="s">
        <v>875</v>
      </c>
      <c r="B498" t="s">
        <v>876</v>
      </c>
      <c r="C498">
        <v>69</v>
      </c>
      <c r="D498" t="s">
        <v>34</v>
      </c>
      <c r="E498" t="s">
        <v>25</v>
      </c>
      <c r="F498" t="s">
        <v>17</v>
      </c>
      <c r="G498" t="s">
        <v>80</v>
      </c>
      <c r="H498">
        <v>107280.38</v>
      </c>
      <c r="I498">
        <v>13</v>
      </c>
      <c r="J498" t="s">
        <v>28</v>
      </c>
      <c r="K498" t="s">
        <v>39</v>
      </c>
      <c r="L498" t="s">
        <v>30</v>
      </c>
      <c r="M498" t="s">
        <v>22</v>
      </c>
    </row>
    <row r="499" spans="1:13" x14ac:dyDescent="0.3">
      <c r="A499" t="s">
        <v>877</v>
      </c>
      <c r="B499" t="s">
        <v>24</v>
      </c>
      <c r="C499">
        <v>69</v>
      </c>
      <c r="D499" t="s">
        <v>34</v>
      </c>
      <c r="E499" t="s">
        <v>25</v>
      </c>
      <c r="F499" t="s">
        <v>89</v>
      </c>
      <c r="G499" t="s">
        <v>80</v>
      </c>
      <c r="H499">
        <v>35270.449999999997</v>
      </c>
      <c r="I499">
        <v>18</v>
      </c>
      <c r="J499" t="s">
        <v>28</v>
      </c>
      <c r="K499" t="s">
        <v>50</v>
      </c>
      <c r="L499" t="s">
        <v>21</v>
      </c>
      <c r="M499" t="s">
        <v>58</v>
      </c>
    </row>
    <row r="500" spans="1:13" x14ac:dyDescent="0.3">
      <c r="A500" t="s">
        <v>878</v>
      </c>
      <c r="B500" t="s">
        <v>178</v>
      </c>
      <c r="C500">
        <v>19</v>
      </c>
      <c r="D500" t="s">
        <v>34</v>
      </c>
      <c r="E500" t="s">
        <v>25</v>
      </c>
      <c r="F500" t="s">
        <v>17</v>
      </c>
      <c r="G500" t="s">
        <v>80</v>
      </c>
      <c r="H500">
        <v>56972.26</v>
      </c>
      <c r="I500">
        <v>10</v>
      </c>
      <c r="J500" t="s">
        <v>28</v>
      </c>
      <c r="K500" t="s">
        <v>20</v>
      </c>
      <c r="L500" t="s">
        <v>21</v>
      </c>
      <c r="M500" t="s">
        <v>31</v>
      </c>
    </row>
    <row r="501" spans="1:13" x14ac:dyDescent="0.3">
      <c r="A501" t="s">
        <v>879</v>
      </c>
      <c r="B501" t="s">
        <v>880</v>
      </c>
      <c r="C501">
        <v>45</v>
      </c>
      <c r="D501" t="s">
        <v>34</v>
      </c>
      <c r="E501" t="s">
        <v>117</v>
      </c>
      <c r="F501" t="s">
        <v>26</v>
      </c>
      <c r="G501" t="s">
        <v>80</v>
      </c>
      <c r="H501">
        <v>129904.98</v>
      </c>
      <c r="I501">
        <v>7</v>
      </c>
      <c r="J501" t="s">
        <v>28</v>
      </c>
      <c r="K501" t="s">
        <v>29</v>
      </c>
      <c r="L501" t="s">
        <v>51</v>
      </c>
      <c r="M501" t="s">
        <v>58</v>
      </c>
    </row>
    <row r="502" spans="1:13" x14ac:dyDescent="0.3">
      <c r="A502" t="s">
        <v>881</v>
      </c>
      <c r="B502" t="s">
        <v>647</v>
      </c>
      <c r="C502">
        <v>46</v>
      </c>
      <c r="D502" t="s">
        <v>34</v>
      </c>
      <c r="E502" t="s">
        <v>64</v>
      </c>
      <c r="F502" t="s">
        <v>84</v>
      </c>
      <c r="G502" t="s">
        <v>18</v>
      </c>
      <c r="H502">
        <v>59994.84</v>
      </c>
      <c r="I502">
        <v>6</v>
      </c>
      <c r="J502" t="s">
        <v>19</v>
      </c>
      <c r="K502" t="s">
        <v>50</v>
      </c>
      <c r="L502" t="s">
        <v>112</v>
      </c>
      <c r="M502" t="s">
        <v>31</v>
      </c>
    </row>
    <row r="503" spans="1:13" x14ac:dyDescent="0.3">
      <c r="A503" t="s">
        <v>882</v>
      </c>
      <c r="B503" t="s">
        <v>883</v>
      </c>
      <c r="C503">
        <v>37</v>
      </c>
      <c r="D503" t="s">
        <v>15</v>
      </c>
      <c r="E503" t="s">
        <v>64</v>
      </c>
      <c r="F503" t="s">
        <v>61</v>
      </c>
      <c r="G503" t="s">
        <v>27</v>
      </c>
      <c r="H503">
        <v>88360</v>
      </c>
      <c r="I503">
        <v>6</v>
      </c>
      <c r="J503" t="s">
        <v>19</v>
      </c>
      <c r="K503" t="s">
        <v>39</v>
      </c>
      <c r="L503" t="s">
        <v>45</v>
      </c>
      <c r="M503" t="s">
        <v>22</v>
      </c>
    </row>
    <row r="504" spans="1:13" x14ac:dyDescent="0.3">
      <c r="A504" t="s">
        <v>884</v>
      </c>
      <c r="B504" t="s">
        <v>135</v>
      </c>
      <c r="C504">
        <v>65</v>
      </c>
      <c r="D504" t="s">
        <v>15</v>
      </c>
      <c r="E504" t="s">
        <v>64</v>
      </c>
      <c r="F504" t="s">
        <v>89</v>
      </c>
      <c r="G504" t="s">
        <v>43</v>
      </c>
      <c r="H504">
        <v>95169.46</v>
      </c>
      <c r="I504">
        <v>11</v>
      </c>
      <c r="J504" t="s">
        <v>28</v>
      </c>
      <c r="K504" t="s">
        <v>50</v>
      </c>
      <c r="L504" t="s">
        <v>112</v>
      </c>
      <c r="M504" t="s">
        <v>31</v>
      </c>
    </row>
    <row r="505" spans="1:13" x14ac:dyDescent="0.3">
      <c r="A505" t="s">
        <v>885</v>
      </c>
      <c r="B505" t="s">
        <v>886</v>
      </c>
      <c r="C505">
        <v>87</v>
      </c>
      <c r="D505" t="s">
        <v>34</v>
      </c>
      <c r="E505" t="s">
        <v>117</v>
      </c>
      <c r="F505" t="s">
        <v>84</v>
      </c>
      <c r="G505" t="s">
        <v>18</v>
      </c>
      <c r="H505">
        <v>82935.61</v>
      </c>
      <c r="I505">
        <v>16</v>
      </c>
      <c r="J505" t="s">
        <v>28</v>
      </c>
      <c r="K505" t="s">
        <v>29</v>
      </c>
      <c r="L505" t="s">
        <v>51</v>
      </c>
      <c r="M505" t="s">
        <v>58</v>
      </c>
    </row>
    <row r="506" spans="1:13" x14ac:dyDescent="0.3">
      <c r="A506" t="s">
        <v>887</v>
      </c>
      <c r="B506" t="s">
        <v>888</v>
      </c>
      <c r="C506">
        <v>87</v>
      </c>
      <c r="D506" t="s">
        <v>15</v>
      </c>
      <c r="E506" t="s">
        <v>117</v>
      </c>
      <c r="F506" t="s">
        <v>84</v>
      </c>
      <c r="G506" t="s">
        <v>43</v>
      </c>
      <c r="H506">
        <v>9841.91</v>
      </c>
      <c r="I506">
        <v>13</v>
      </c>
      <c r="J506" t="s">
        <v>19</v>
      </c>
      <c r="K506" t="s">
        <v>20</v>
      </c>
      <c r="L506" t="s">
        <v>30</v>
      </c>
      <c r="M506" t="s">
        <v>31</v>
      </c>
    </row>
    <row r="507" spans="1:13" x14ac:dyDescent="0.3">
      <c r="A507" t="s">
        <v>889</v>
      </c>
      <c r="B507" t="s">
        <v>729</v>
      </c>
      <c r="C507">
        <v>66</v>
      </c>
      <c r="D507" t="s">
        <v>34</v>
      </c>
      <c r="E507" t="s">
        <v>83</v>
      </c>
      <c r="F507" t="s">
        <v>79</v>
      </c>
      <c r="G507" t="s">
        <v>18</v>
      </c>
      <c r="H507">
        <v>51491.17</v>
      </c>
      <c r="I507">
        <v>15</v>
      </c>
      <c r="J507" t="s">
        <v>19</v>
      </c>
      <c r="K507" t="s">
        <v>29</v>
      </c>
      <c r="L507" t="s">
        <v>21</v>
      </c>
      <c r="M507" t="s">
        <v>31</v>
      </c>
    </row>
    <row r="508" spans="1:13" x14ac:dyDescent="0.3">
      <c r="A508" t="s">
        <v>890</v>
      </c>
      <c r="B508" t="s">
        <v>256</v>
      </c>
      <c r="C508">
        <v>67</v>
      </c>
      <c r="D508" t="s">
        <v>34</v>
      </c>
      <c r="E508" t="s">
        <v>16</v>
      </c>
      <c r="F508" t="s">
        <v>89</v>
      </c>
      <c r="G508" t="s">
        <v>43</v>
      </c>
      <c r="H508">
        <v>50121.07</v>
      </c>
      <c r="I508">
        <v>11</v>
      </c>
      <c r="J508" t="s">
        <v>28</v>
      </c>
      <c r="K508" t="s">
        <v>55</v>
      </c>
      <c r="L508" t="s">
        <v>51</v>
      </c>
      <c r="M508" t="s">
        <v>58</v>
      </c>
    </row>
    <row r="509" spans="1:13" x14ac:dyDescent="0.3">
      <c r="A509" t="s">
        <v>891</v>
      </c>
      <c r="B509" t="s">
        <v>196</v>
      </c>
      <c r="C509">
        <v>79</v>
      </c>
      <c r="D509" t="s">
        <v>34</v>
      </c>
      <c r="E509" t="s">
        <v>117</v>
      </c>
      <c r="F509" t="s">
        <v>61</v>
      </c>
      <c r="G509" t="s">
        <v>18</v>
      </c>
      <c r="H509">
        <v>84141.86</v>
      </c>
      <c r="I509">
        <v>8</v>
      </c>
      <c r="J509" t="s">
        <v>19</v>
      </c>
      <c r="K509" t="s">
        <v>20</v>
      </c>
      <c r="L509" t="s">
        <v>21</v>
      </c>
      <c r="M509" t="s">
        <v>22</v>
      </c>
    </row>
    <row r="510" spans="1:13" x14ac:dyDescent="0.3">
      <c r="A510" t="s">
        <v>892</v>
      </c>
      <c r="B510" t="s">
        <v>893</v>
      </c>
      <c r="C510">
        <v>46</v>
      </c>
      <c r="D510" t="s">
        <v>15</v>
      </c>
      <c r="E510" t="s">
        <v>64</v>
      </c>
      <c r="F510" t="s">
        <v>26</v>
      </c>
      <c r="G510" t="s">
        <v>80</v>
      </c>
      <c r="H510">
        <v>39744.870000000003</v>
      </c>
      <c r="I510">
        <v>5</v>
      </c>
      <c r="J510" t="s">
        <v>28</v>
      </c>
      <c r="K510" t="s">
        <v>74</v>
      </c>
      <c r="L510" t="s">
        <v>112</v>
      </c>
      <c r="M510" t="s">
        <v>22</v>
      </c>
    </row>
    <row r="511" spans="1:13" x14ac:dyDescent="0.3">
      <c r="A511" t="s">
        <v>894</v>
      </c>
      <c r="B511" t="s">
        <v>174</v>
      </c>
      <c r="C511">
        <v>20</v>
      </c>
      <c r="D511" t="s">
        <v>15</v>
      </c>
      <c r="E511" t="s">
        <v>83</v>
      </c>
      <c r="F511" t="s">
        <v>17</v>
      </c>
      <c r="G511" t="s">
        <v>18</v>
      </c>
      <c r="H511">
        <v>62272.32</v>
      </c>
      <c r="I511">
        <v>8</v>
      </c>
      <c r="J511" t="s">
        <v>28</v>
      </c>
      <c r="K511" t="s">
        <v>55</v>
      </c>
      <c r="L511" t="s">
        <v>21</v>
      </c>
      <c r="M511" t="s">
        <v>31</v>
      </c>
    </row>
    <row r="512" spans="1:13" x14ac:dyDescent="0.3">
      <c r="A512" t="s">
        <v>895</v>
      </c>
      <c r="B512" t="s">
        <v>896</v>
      </c>
      <c r="C512">
        <v>57</v>
      </c>
      <c r="D512" t="s">
        <v>34</v>
      </c>
      <c r="E512" t="s">
        <v>35</v>
      </c>
      <c r="F512" t="s">
        <v>61</v>
      </c>
      <c r="G512" t="s">
        <v>80</v>
      </c>
      <c r="H512">
        <v>39751.019999999997</v>
      </c>
      <c r="I512">
        <v>8</v>
      </c>
      <c r="J512" t="s">
        <v>28</v>
      </c>
      <c r="K512" t="s">
        <v>50</v>
      </c>
      <c r="L512" t="s">
        <v>51</v>
      </c>
      <c r="M512" t="s">
        <v>58</v>
      </c>
    </row>
    <row r="513" spans="1:13" x14ac:dyDescent="0.3">
      <c r="A513" t="s">
        <v>897</v>
      </c>
      <c r="B513" t="s">
        <v>426</v>
      </c>
      <c r="C513">
        <v>47</v>
      </c>
      <c r="D513" t="s">
        <v>34</v>
      </c>
      <c r="E513" t="s">
        <v>64</v>
      </c>
      <c r="F513" t="s">
        <v>84</v>
      </c>
      <c r="G513" t="s">
        <v>18</v>
      </c>
      <c r="H513">
        <v>143482.04</v>
      </c>
      <c r="I513">
        <v>9</v>
      </c>
      <c r="J513" t="s">
        <v>19</v>
      </c>
      <c r="K513" t="s">
        <v>50</v>
      </c>
      <c r="L513" t="s">
        <v>45</v>
      </c>
      <c r="M513" t="s">
        <v>58</v>
      </c>
    </row>
    <row r="514" spans="1:13" x14ac:dyDescent="0.3">
      <c r="A514" t="s">
        <v>898</v>
      </c>
      <c r="B514" t="s">
        <v>899</v>
      </c>
      <c r="C514">
        <v>81</v>
      </c>
      <c r="D514" t="s">
        <v>15</v>
      </c>
      <c r="E514" t="s">
        <v>117</v>
      </c>
      <c r="F514" t="s">
        <v>79</v>
      </c>
      <c r="G514" t="s">
        <v>54</v>
      </c>
      <c r="H514">
        <v>34738.86</v>
      </c>
      <c r="I514">
        <v>3</v>
      </c>
      <c r="J514" t="s">
        <v>19</v>
      </c>
      <c r="K514" t="s">
        <v>39</v>
      </c>
      <c r="L514" t="s">
        <v>30</v>
      </c>
      <c r="M514" t="s">
        <v>31</v>
      </c>
    </row>
    <row r="515" spans="1:13" x14ac:dyDescent="0.3">
      <c r="A515" t="s">
        <v>900</v>
      </c>
      <c r="B515" t="s">
        <v>901</v>
      </c>
      <c r="C515">
        <v>14</v>
      </c>
      <c r="D515" t="s">
        <v>15</v>
      </c>
      <c r="E515" t="s">
        <v>117</v>
      </c>
      <c r="F515" t="s">
        <v>84</v>
      </c>
      <c r="G515" t="s">
        <v>54</v>
      </c>
      <c r="H515">
        <v>64040.2</v>
      </c>
      <c r="I515">
        <v>10</v>
      </c>
      <c r="J515" t="s">
        <v>19</v>
      </c>
      <c r="K515" t="s">
        <v>29</v>
      </c>
      <c r="L515" t="s">
        <v>112</v>
      </c>
      <c r="M515" t="s">
        <v>58</v>
      </c>
    </row>
    <row r="516" spans="1:13" x14ac:dyDescent="0.3">
      <c r="A516" t="s">
        <v>902</v>
      </c>
      <c r="B516" t="s">
        <v>903</v>
      </c>
      <c r="C516">
        <v>23</v>
      </c>
      <c r="D516" t="s">
        <v>15</v>
      </c>
      <c r="E516" t="s">
        <v>16</v>
      </c>
      <c r="F516" t="s">
        <v>84</v>
      </c>
      <c r="G516" t="s">
        <v>36</v>
      </c>
      <c r="H516">
        <v>26727.54</v>
      </c>
      <c r="I516">
        <v>6</v>
      </c>
      <c r="J516" t="s">
        <v>19</v>
      </c>
      <c r="K516" t="s">
        <v>20</v>
      </c>
      <c r="L516" t="s">
        <v>51</v>
      </c>
      <c r="M516" t="s">
        <v>58</v>
      </c>
    </row>
    <row r="517" spans="1:13" x14ac:dyDescent="0.3">
      <c r="A517" t="s">
        <v>904</v>
      </c>
      <c r="B517" t="s">
        <v>152</v>
      </c>
      <c r="C517">
        <v>46</v>
      </c>
      <c r="D517" t="s">
        <v>34</v>
      </c>
      <c r="E517" t="s">
        <v>25</v>
      </c>
      <c r="F517" t="s">
        <v>26</v>
      </c>
      <c r="G517" t="s">
        <v>36</v>
      </c>
      <c r="H517">
        <v>146332.29999999999</v>
      </c>
      <c r="I517">
        <v>19</v>
      </c>
      <c r="J517" t="s">
        <v>19</v>
      </c>
      <c r="K517" t="s">
        <v>39</v>
      </c>
      <c r="L517" t="s">
        <v>45</v>
      </c>
      <c r="M517" t="s">
        <v>58</v>
      </c>
    </row>
    <row r="518" spans="1:13" x14ac:dyDescent="0.3">
      <c r="A518" t="s">
        <v>905</v>
      </c>
      <c r="B518" t="s">
        <v>218</v>
      </c>
      <c r="C518">
        <v>6</v>
      </c>
      <c r="D518" t="s">
        <v>34</v>
      </c>
      <c r="E518" t="s">
        <v>16</v>
      </c>
      <c r="F518" t="s">
        <v>89</v>
      </c>
      <c r="G518" t="s">
        <v>36</v>
      </c>
      <c r="H518">
        <v>53196.08</v>
      </c>
      <c r="I518">
        <v>5</v>
      </c>
      <c r="J518" t="s">
        <v>19</v>
      </c>
      <c r="K518" t="s">
        <v>74</v>
      </c>
      <c r="L518" t="s">
        <v>112</v>
      </c>
      <c r="M518" t="s">
        <v>58</v>
      </c>
    </row>
    <row r="519" spans="1:13" x14ac:dyDescent="0.3">
      <c r="A519" t="s">
        <v>906</v>
      </c>
      <c r="B519" t="s">
        <v>907</v>
      </c>
      <c r="C519">
        <v>64</v>
      </c>
      <c r="D519" t="s">
        <v>34</v>
      </c>
      <c r="E519" t="s">
        <v>117</v>
      </c>
      <c r="F519" t="s">
        <v>79</v>
      </c>
      <c r="G519" t="s">
        <v>36</v>
      </c>
      <c r="H519">
        <v>107714.91</v>
      </c>
      <c r="I519">
        <v>2</v>
      </c>
      <c r="J519" t="s">
        <v>28</v>
      </c>
      <c r="K519" t="s">
        <v>74</v>
      </c>
      <c r="L519" t="s">
        <v>112</v>
      </c>
      <c r="M519" t="s">
        <v>31</v>
      </c>
    </row>
    <row r="520" spans="1:13" x14ac:dyDescent="0.3">
      <c r="A520" t="s">
        <v>908</v>
      </c>
      <c r="B520" t="s">
        <v>909</v>
      </c>
      <c r="C520">
        <v>77</v>
      </c>
      <c r="D520" t="s">
        <v>15</v>
      </c>
      <c r="E520" t="s">
        <v>25</v>
      </c>
      <c r="F520" t="s">
        <v>61</v>
      </c>
      <c r="G520" t="s">
        <v>43</v>
      </c>
      <c r="H520">
        <v>99231.88</v>
      </c>
      <c r="I520">
        <v>17</v>
      </c>
      <c r="J520" t="s">
        <v>19</v>
      </c>
      <c r="K520" t="s">
        <v>55</v>
      </c>
      <c r="L520" t="s">
        <v>40</v>
      </c>
      <c r="M520" t="s">
        <v>58</v>
      </c>
    </row>
    <row r="521" spans="1:13" x14ac:dyDescent="0.3">
      <c r="A521" t="s">
        <v>910</v>
      </c>
      <c r="B521" t="s">
        <v>911</v>
      </c>
      <c r="C521">
        <v>53</v>
      </c>
      <c r="D521" t="s">
        <v>34</v>
      </c>
      <c r="E521" t="s">
        <v>117</v>
      </c>
      <c r="F521" t="s">
        <v>17</v>
      </c>
      <c r="G521" t="s">
        <v>18</v>
      </c>
      <c r="H521">
        <v>149269.63</v>
      </c>
      <c r="I521">
        <v>3</v>
      </c>
      <c r="J521" t="s">
        <v>28</v>
      </c>
      <c r="K521" t="s">
        <v>39</v>
      </c>
      <c r="L521" t="s">
        <v>112</v>
      </c>
      <c r="M521" t="s">
        <v>22</v>
      </c>
    </row>
    <row r="522" spans="1:13" x14ac:dyDescent="0.3">
      <c r="A522" t="s">
        <v>912</v>
      </c>
      <c r="B522" t="s">
        <v>913</v>
      </c>
      <c r="C522">
        <v>3</v>
      </c>
      <c r="D522" t="s">
        <v>34</v>
      </c>
      <c r="E522" t="s">
        <v>64</v>
      </c>
      <c r="F522" t="s">
        <v>26</v>
      </c>
      <c r="G522" t="s">
        <v>36</v>
      </c>
      <c r="H522">
        <v>107471.27</v>
      </c>
      <c r="I522">
        <v>16</v>
      </c>
      <c r="J522" t="s">
        <v>28</v>
      </c>
      <c r="K522" t="s">
        <v>69</v>
      </c>
      <c r="L522" t="s">
        <v>45</v>
      </c>
      <c r="M522" t="s">
        <v>58</v>
      </c>
    </row>
    <row r="523" spans="1:13" x14ac:dyDescent="0.3">
      <c r="A523" t="s">
        <v>914</v>
      </c>
      <c r="B523" t="s">
        <v>915</v>
      </c>
      <c r="C523">
        <v>3</v>
      </c>
      <c r="D523" t="s">
        <v>15</v>
      </c>
      <c r="E523" t="s">
        <v>35</v>
      </c>
      <c r="F523" t="s">
        <v>84</v>
      </c>
      <c r="G523" t="s">
        <v>18</v>
      </c>
      <c r="H523">
        <v>105937.24</v>
      </c>
      <c r="I523">
        <v>17</v>
      </c>
      <c r="J523" t="s">
        <v>19</v>
      </c>
      <c r="K523" t="s">
        <v>69</v>
      </c>
      <c r="L523" t="s">
        <v>21</v>
      </c>
      <c r="M523" t="s">
        <v>22</v>
      </c>
    </row>
    <row r="524" spans="1:13" x14ac:dyDescent="0.3">
      <c r="A524" t="s">
        <v>916</v>
      </c>
      <c r="B524" t="s">
        <v>114</v>
      </c>
      <c r="C524">
        <v>68</v>
      </c>
      <c r="D524" t="s">
        <v>34</v>
      </c>
      <c r="E524" t="s">
        <v>64</v>
      </c>
      <c r="F524" t="s">
        <v>79</v>
      </c>
      <c r="G524" t="s">
        <v>27</v>
      </c>
      <c r="H524">
        <v>24721.06</v>
      </c>
      <c r="I524">
        <v>9</v>
      </c>
      <c r="J524" t="s">
        <v>28</v>
      </c>
      <c r="K524" t="s">
        <v>74</v>
      </c>
      <c r="L524" t="s">
        <v>112</v>
      </c>
      <c r="M524" t="s">
        <v>58</v>
      </c>
    </row>
    <row r="525" spans="1:13" x14ac:dyDescent="0.3">
      <c r="A525" t="s">
        <v>917</v>
      </c>
      <c r="B525" t="s">
        <v>918</v>
      </c>
      <c r="C525">
        <v>25</v>
      </c>
      <c r="D525" t="s">
        <v>15</v>
      </c>
      <c r="E525" t="s">
        <v>16</v>
      </c>
      <c r="F525" t="s">
        <v>61</v>
      </c>
      <c r="G525" t="s">
        <v>27</v>
      </c>
      <c r="H525">
        <v>119094.97</v>
      </c>
      <c r="I525">
        <v>1</v>
      </c>
      <c r="J525" t="s">
        <v>19</v>
      </c>
      <c r="K525" t="s">
        <v>69</v>
      </c>
      <c r="L525" t="s">
        <v>30</v>
      </c>
      <c r="M525" t="s">
        <v>58</v>
      </c>
    </row>
    <row r="526" spans="1:13" x14ac:dyDescent="0.3">
      <c r="A526" t="s">
        <v>919</v>
      </c>
      <c r="B526" t="s">
        <v>530</v>
      </c>
      <c r="C526">
        <v>27</v>
      </c>
      <c r="D526" t="s">
        <v>15</v>
      </c>
      <c r="E526" t="s">
        <v>64</v>
      </c>
      <c r="F526" t="s">
        <v>89</v>
      </c>
      <c r="G526" t="s">
        <v>27</v>
      </c>
      <c r="H526">
        <v>3582.72</v>
      </c>
      <c r="I526">
        <v>8</v>
      </c>
      <c r="J526" t="s">
        <v>28</v>
      </c>
      <c r="K526" t="s">
        <v>20</v>
      </c>
      <c r="L526" t="s">
        <v>112</v>
      </c>
      <c r="M526" t="s">
        <v>22</v>
      </c>
    </row>
    <row r="527" spans="1:13" x14ac:dyDescent="0.3">
      <c r="A527" t="s">
        <v>920</v>
      </c>
      <c r="B527" t="s">
        <v>14</v>
      </c>
      <c r="C527">
        <v>37</v>
      </c>
      <c r="D527" t="s">
        <v>34</v>
      </c>
      <c r="E527" t="s">
        <v>35</v>
      </c>
      <c r="F527" t="s">
        <v>26</v>
      </c>
      <c r="G527" t="s">
        <v>54</v>
      </c>
      <c r="H527">
        <v>20579.2</v>
      </c>
      <c r="I527">
        <v>8</v>
      </c>
      <c r="J527" t="s">
        <v>28</v>
      </c>
      <c r="K527" t="s">
        <v>29</v>
      </c>
      <c r="L527" t="s">
        <v>30</v>
      </c>
      <c r="M527" t="s">
        <v>31</v>
      </c>
    </row>
    <row r="528" spans="1:13" x14ac:dyDescent="0.3">
      <c r="A528" t="s">
        <v>921</v>
      </c>
      <c r="B528" t="s">
        <v>553</v>
      </c>
      <c r="C528">
        <v>76</v>
      </c>
      <c r="D528" t="s">
        <v>34</v>
      </c>
      <c r="E528" t="s">
        <v>117</v>
      </c>
      <c r="F528" t="s">
        <v>89</v>
      </c>
      <c r="G528" t="s">
        <v>36</v>
      </c>
      <c r="H528">
        <v>88187.71</v>
      </c>
      <c r="I528">
        <v>7</v>
      </c>
      <c r="J528" t="s">
        <v>28</v>
      </c>
      <c r="K528" t="s">
        <v>69</v>
      </c>
      <c r="L528" t="s">
        <v>30</v>
      </c>
      <c r="M528" t="s">
        <v>22</v>
      </c>
    </row>
    <row r="529" spans="1:13" x14ac:dyDescent="0.3">
      <c r="A529" t="s">
        <v>922</v>
      </c>
      <c r="B529" t="s">
        <v>923</v>
      </c>
      <c r="C529">
        <v>4</v>
      </c>
      <c r="D529" t="s">
        <v>15</v>
      </c>
      <c r="E529" t="s">
        <v>64</v>
      </c>
      <c r="F529" t="s">
        <v>79</v>
      </c>
      <c r="G529" t="s">
        <v>18</v>
      </c>
      <c r="H529">
        <v>62705.29</v>
      </c>
      <c r="I529">
        <v>12</v>
      </c>
      <c r="J529" t="s">
        <v>28</v>
      </c>
      <c r="K529" t="s">
        <v>20</v>
      </c>
      <c r="L529" t="s">
        <v>112</v>
      </c>
      <c r="M529" t="s">
        <v>58</v>
      </c>
    </row>
    <row r="530" spans="1:13" x14ac:dyDescent="0.3">
      <c r="A530" t="s">
        <v>924</v>
      </c>
      <c r="B530" t="s">
        <v>428</v>
      </c>
      <c r="C530">
        <v>4</v>
      </c>
      <c r="D530" t="s">
        <v>15</v>
      </c>
      <c r="E530" t="s">
        <v>25</v>
      </c>
      <c r="F530" t="s">
        <v>84</v>
      </c>
      <c r="G530" t="s">
        <v>43</v>
      </c>
      <c r="H530">
        <v>143796.48000000001</v>
      </c>
      <c r="I530">
        <v>4</v>
      </c>
      <c r="J530" t="s">
        <v>19</v>
      </c>
      <c r="K530" t="s">
        <v>50</v>
      </c>
      <c r="L530" t="s">
        <v>45</v>
      </c>
      <c r="M530" t="s">
        <v>31</v>
      </c>
    </row>
    <row r="531" spans="1:13" x14ac:dyDescent="0.3">
      <c r="A531" t="s">
        <v>925</v>
      </c>
      <c r="B531" t="s">
        <v>452</v>
      </c>
      <c r="C531">
        <v>37</v>
      </c>
      <c r="D531" t="s">
        <v>15</v>
      </c>
      <c r="E531" t="s">
        <v>117</v>
      </c>
      <c r="F531" t="s">
        <v>79</v>
      </c>
      <c r="G531" t="s">
        <v>43</v>
      </c>
      <c r="H531">
        <v>41482.21</v>
      </c>
      <c r="I531">
        <v>7</v>
      </c>
      <c r="J531" t="s">
        <v>28</v>
      </c>
      <c r="K531" t="s">
        <v>69</v>
      </c>
      <c r="L531" t="s">
        <v>30</v>
      </c>
      <c r="M531" t="s">
        <v>58</v>
      </c>
    </row>
    <row r="532" spans="1:13" x14ac:dyDescent="0.3">
      <c r="A532" t="s">
        <v>926</v>
      </c>
      <c r="B532" t="s">
        <v>927</v>
      </c>
      <c r="C532">
        <v>72</v>
      </c>
      <c r="D532" t="s">
        <v>15</v>
      </c>
      <c r="E532" t="s">
        <v>64</v>
      </c>
      <c r="F532" t="s">
        <v>84</v>
      </c>
      <c r="G532" t="s">
        <v>43</v>
      </c>
      <c r="H532">
        <v>119995.31</v>
      </c>
      <c r="I532">
        <v>19</v>
      </c>
      <c r="J532" t="s">
        <v>28</v>
      </c>
      <c r="K532" t="s">
        <v>50</v>
      </c>
      <c r="L532" t="s">
        <v>40</v>
      </c>
      <c r="M532" t="s">
        <v>22</v>
      </c>
    </row>
    <row r="533" spans="1:13" x14ac:dyDescent="0.3">
      <c r="A533" t="s">
        <v>928</v>
      </c>
      <c r="B533" t="s">
        <v>146</v>
      </c>
      <c r="C533">
        <v>47</v>
      </c>
      <c r="D533" t="s">
        <v>34</v>
      </c>
      <c r="E533" t="s">
        <v>117</v>
      </c>
      <c r="F533" t="s">
        <v>79</v>
      </c>
      <c r="G533" t="s">
        <v>80</v>
      </c>
      <c r="H533">
        <v>18761.5</v>
      </c>
      <c r="I533">
        <v>20</v>
      </c>
      <c r="J533" t="s">
        <v>19</v>
      </c>
      <c r="K533" t="s">
        <v>50</v>
      </c>
      <c r="L533" t="s">
        <v>45</v>
      </c>
      <c r="M533" t="s">
        <v>31</v>
      </c>
    </row>
    <row r="534" spans="1:13" x14ac:dyDescent="0.3">
      <c r="A534" t="s">
        <v>929</v>
      </c>
      <c r="B534" t="s">
        <v>322</v>
      </c>
      <c r="C534">
        <v>42</v>
      </c>
      <c r="D534" t="s">
        <v>34</v>
      </c>
      <c r="E534" t="s">
        <v>117</v>
      </c>
      <c r="F534" t="s">
        <v>17</v>
      </c>
      <c r="G534" t="s">
        <v>80</v>
      </c>
      <c r="H534">
        <v>137289.18</v>
      </c>
      <c r="I534">
        <v>9</v>
      </c>
      <c r="J534" t="s">
        <v>28</v>
      </c>
      <c r="K534" t="s">
        <v>20</v>
      </c>
      <c r="L534" t="s">
        <v>40</v>
      </c>
      <c r="M534" t="s">
        <v>31</v>
      </c>
    </row>
    <row r="535" spans="1:13" x14ac:dyDescent="0.3">
      <c r="A535" t="s">
        <v>930</v>
      </c>
      <c r="B535" t="s">
        <v>387</v>
      </c>
      <c r="C535">
        <v>81</v>
      </c>
      <c r="D535" t="s">
        <v>15</v>
      </c>
      <c r="E535" t="s">
        <v>64</v>
      </c>
      <c r="F535" t="s">
        <v>89</v>
      </c>
      <c r="G535" t="s">
        <v>80</v>
      </c>
      <c r="H535">
        <v>116293.69</v>
      </c>
      <c r="I535">
        <v>3</v>
      </c>
      <c r="J535" t="s">
        <v>28</v>
      </c>
      <c r="K535" t="s">
        <v>50</v>
      </c>
      <c r="L535" t="s">
        <v>45</v>
      </c>
      <c r="M535" t="s">
        <v>31</v>
      </c>
    </row>
    <row r="536" spans="1:13" x14ac:dyDescent="0.3">
      <c r="A536" t="s">
        <v>931</v>
      </c>
      <c r="B536" t="s">
        <v>932</v>
      </c>
      <c r="C536">
        <v>52</v>
      </c>
      <c r="D536" t="s">
        <v>15</v>
      </c>
      <c r="E536" t="s">
        <v>35</v>
      </c>
      <c r="F536" t="s">
        <v>61</v>
      </c>
      <c r="G536" t="s">
        <v>80</v>
      </c>
      <c r="H536">
        <v>87127.52</v>
      </c>
      <c r="I536">
        <v>9</v>
      </c>
      <c r="J536" t="s">
        <v>19</v>
      </c>
      <c r="K536" t="s">
        <v>55</v>
      </c>
      <c r="L536" t="s">
        <v>51</v>
      </c>
      <c r="M536" t="s">
        <v>31</v>
      </c>
    </row>
    <row r="537" spans="1:13" x14ac:dyDescent="0.3">
      <c r="A537" t="s">
        <v>933</v>
      </c>
      <c r="B537" t="s">
        <v>934</v>
      </c>
      <c r="C537">
        <v>28</v>
      </c>
      <c r="D537" t="s">
        <v>34</v>
      </c>
      <c r="E537" t="s">
        <v>64</v>
      </c>
      <c r="F537" t="s">
        <v>61</v>
      </c>
      <c r="G537" t="s">
        <v>54</v>
      </c>
      <c r="H537">
        <v>103748.28</v>
      </c>
      <c r="I537">
        <v>11</v>
      </c>
      <c r="J537" t="s">
        <v>28</v>
      </c>
      <c r="K537" t="s">
        <v>29</v>
      </c>
      <c r="L537" t="s">
        <v>51</v>
      </c>
      <c r="M537" t="s">
        <v>22</v>
      </c>
    </row>
    <row r="538" spans="1:13" x14ac:dyDescent="0.3">
      <c r="A538" t="s">
        <v>935</v>
      </c>
      <c r="B538" t="s">
        <v>127</v>
      </c>
      <c r="C538">
        <v>88</v>
      </c>
      <c r="D538" t="s">
        <v>15</v>
      </c>
      <c r="E538" t="s">
        <v>35</v>
      </c>
      <c r="F538" t="s">
        <v>84</v>
      </c>
      <c r="G538" t="s">
        <v>43</v>
      </c>
      <c r="H538">
        <v>104260.76</v>
      </c>
      <c r="I538">
        <v>15</v>
      </c>
      <c r="J538" t="s">
        <v>28</v>
      </c>
      <c r="K538" t="s">
        <v>20</v>
      </c>
      <c r="L538" t="s">
        <v>21</v>
      </c>
      <c r="M538" t="s">
        <v>58</v>
      </c>
    </row>
    <row r="539" spans="1:13" x14ac:dyDescent="0.3">
      <c r="A539" t="s">
        <v>936</v>
      </c>
      <c r="B539" t="s">
        <v>143</v>
      </c>
      <c r="C539">
        <v>32</v>
      </c>
      <c r="D539" t="s">
        <v>34</v>
      </c>
      <c r="E539" t="s">
        <v>117</v>
      </c>
      <c r="F539" t="s">
        <v>26</v>
      </c>
      <c r="G539" t="s">
        <v>54</v>
      </c>
      <c r="H539">
        <v>36901.75</v>
      </c>
      <c r="I539">
        <v>8</v>
      </c>
      <c r="J539" t="s">
        <v>19</v>
      </c>
      <c r="K539" t="s">
        <v>74</v>
      </c>
      <c r="L539" t="s">
        <v>30</v>
      </c>
      <c r="M539" t="s">
        <v>22</v>
      </c>
    </row>
    <row r="540" spans="1:13" x14ac:dyDescent="0.3">
      <c r="A540" t="s">
        <v>937</v>
      </c>
      <c r="B540" t="s">
        <v>416</v>
      </c>
      <c r="C540">
        <v>15</v>
      </c>
      <c r="D540" t="s">
        <v>34</v>
      </c>
      <c r="E540" t="s">
        <v>25</v>
      </c>
      <c r="F540" t="s">
        <v>61</v>
      </c>
      <c r="G540" t="s">
        <v>36</v>
      </c>
      <c r="H540">
        <v>28303.49</v>
      </c>
      <c r="I540">
        <v>20</v>
      </c>
      <c r="J540" t="s">
        <v>19</v>
      </c>
      <c r="K540" t="s">
        <v>69</v>
      </c>
      <c r="L540" t="s">
        <v>112</v>
      </c>
      <c r="M540" t="s">
        <v>58</v>
      </c>
    </row>
    <row r="541" spans="1:13" x14ac:dyDescent="0.3">
      <c r="A541" t="s">
        <v>938</v>
      </c>
      <c r="B541" t="s">
        <v>867</v>
      </c>
      <c r="C541">
        <v>46</v>
      </c>
      <c r="D541" t="s">
        <v>34</v>
      </c>
      <c r="E541" t="s">
        <v>64</v>
      </c>
      <c r="F541" t="s">
        <v>26</v>
      </c>
      <c r="G541" t="s">
        <v>18</v>
      </c>
      <c r="H541">
        <v>87944.82</v>
      </c>
      <c r="I541">
        <v>18</v>
      </c>
      <c r="J541" t="s">
        <v>28</v>
      </c>
      <c r="K541" t="s">
        <v>29</v>
      </c>
      <c r="L541" t="s">
        <v>45</v>
      </c>
      <c r="M541" t="s">
        <v>31</v>
      </c>
    </row>
    <row r="542" spans="1:13" x14ac:dyDescent="0.3">
      <c r="A542" t="s">
        <v>939</v>
      </c>
      <c r="B542" t="s">
        <v>940</v>
      </c>
      <c r="C542">
        <v>83</v>
      </c>
      <c r="D542" t="s">
        <v>34</v>
      </c>
      <c r="E542" t="s">
        <v>83</v>
      </c>
      <c r="F542" t="s">
        <v>84</v>
      </c>
      <c r="G542" t="s">
        <v>43</v>
      </c>
      <c r="H542">
        <v>34220.720000000001</v>
      </c>
      <c r="I542">
        <v>18</v>
      </c>
      <c r="J542" t="s">
        <v>19</v>
      </c>
      <c r="K542" t="s">
        <v>50</v>
      </c>
      <c r="L542" t="s">
        <v>45</v>
      </c>
      <c r="M542" t="s">
        <v>31</v>
      </c>
    </row>
    <row r="543" spans="1:13" x14ac:dyDescent="0.3">
      <c r="A543" t="s">
        <v>941</v>
      </c>
      <c r="B543" t="s">
        <v>942</v>
      </c>
      <c r="C543">
        <v>22</v>
      </c>
      <c r="D543" t="s">
        <v>34</v>
      </c>
      <c r="E543" t="s">
        <v>117</v>
      </c>
      <c r="F543" t="s">
        <v>17</v>
      </c>
      <c r="G543" t="s">
        <v>43</v>
      </c>
      <c r="H543">
        <v>14527.72</v>
      </c>
      <c r="I543">
        <v>4</v>
      </c>
      <c r="J543" t="s">
        <v>28</v>
      </c>
      <c r="K543" t="s">
        <v>44</v>
      </c>
      <c r="L543" t="s">
        <v>40</v>
      </c>
      <c r="M543" t="s">
        <v>31</v>
      </c>
    </row>
    <row r="544" spans="1:13" x14ac:dyDescent="0.3">
      <c r="A544" t="s">
        <v>943</v>
      </c>
      <c r="B544" t="s">
        <v>125</v>
      </c>
      <c r="C544">
        <v>60</v>
      </c>
      <c r="D544" t="s">
        <v>15</v>
      </c>
      <c r="E544" t="s">
        <v>83</v>
      </c>
      <c r="F544" t="s">
        <v>17</v>
      </c>
      <c r="G544" t="s">
        <v>27</v>
      </c>
      <c r="H544">
        <v>132755.66</v>
      </c>
      <c r="I544">
        <v>7</v>
      </c>
      <c r="J544" t="s">
        <v>19</v>
      </c>
      <c r="K544" t="s">
        <v>29</v>
      </c>
      <c r="L544" t="s">
        <v>40</v>
      </c>
      <c r="M544" t="s">
        <v>22</v>
      </c>
    </row>
    <row r="545" spans="1:13" x14ac:dyDescent="0.3">
      <c r="A545" t="s">
        <v>944</v>
      </c>
      <c r="B545" t="s">
        <v>530</v>
      </c>
      <c r="C545">
        <v>55</v>
      </c>
      <c r="D545" t="s">
        <v>15</v>
      </c>
      <c r="E545" t="s">
        <v>64</v>
      </c>
      <c r="F545" t="s">
        <v>89</v>
      </c>
      <c r="G545" t="s">
        <v>54</v>
      </c>
      <c r="H545">
        <v>110103.15</v>
      </c>
      <c r="I545">
        <v>16</v>
      </c>
      <c r="J545" t="s">
        <v>28</v>
      </c>
      <c r="K545" t="s">
        <v>44</v>
      </c>
      <c r="L545" t="s">
        <v>40</v>
      </c>
      <c r="M545" t="s">
        <v>31</v>
      </c>
    </row>
    <row r="546" spans="1:13" x14ac:dyDescent="0.3">
      <c r="A546" t="s">
        <v>945</v>
      </c>
      <c r="B546" t="s">
        <v>946</v>
      </c>
      <c r="C546">
        <v>58</v>
      </c>
      <c r="D546" t="s">
        <v>15</v>
      </c>
      <c r="E546" t="s">
        <v>64</v>
      </c>
      <c r="F546" t="s">
        <v>17</v>
      </c>
      <c r="G546" t="s">
        <v>54</v>
      </c>
      <c r="H546">
        <v>7641.05</v>
      </c>
      <c r="I546">
        <v>10</v>
      </c>
      <c r="J546" t="s">
        <v>28</v>
      </c>
      <c r="K546" t="s">
        <v>39</v>
      </c>
      <c r="L546" t="s">
        <v>30</v>
      </c>
      <c r="M546" t="s">
        <v>31</v>
      </c>
    </row>
    <row r="547" spans="1:13" x14ac:dyDescent="0.3">
      <c r="A547" t="s">
        <v>947</v>
      </c>
      <c r="B547" t="s">
        <v>726</v>
      </c>
      <c r="C547">
        <v>76</v>
      </c>
      <c r="D547" t="s">
        <v>15</v>
      </c>
      <c r="E547" t="s">
        <v>64</v>
      </c>
      <c r="F547" t="s">
        <v>26</v>
      </c>
      <c r="G547" t="s">
        <v>36</v>
      </c>
      <c r="H547">
        <v>113983.15</v>
      </c>
      <c r="I547">
        <v>9</v>
      </c>
      <c r="J547" t="s">
        <v>28</v>
      </c>
      <c r="K547" t="s">
        <v>74</v>
      </c>
      <c r="L547" t="s">
        <v>40</v>
      </c>
      <c r="M547" t="s">
        <v>31</v>
      </c>
    </row>
    <row r="548" spans="1:13" x14ac:dyDescent="0.3">
      <c r="A548" t="s">
        <v>948</v>
      </c>
      <c r="B548" t="s">
        <v>949</v>
      </c>
      <c r="C548">
        <v>90</v>
      </c>
      <c r="D548" t="s">
        <v>34</v>
      </c>
      <c r="E548" t="s">
        <v>83</v>
      </c>
      <c r="F548" t="s">
        <v>79</v>
      </c>
      <c r="G548" t="s">
        <v>43</v>
      </c>
      <c r="H548">
        <v>101089.41</v>
      </c>
      <c r="I548">
        <v>19</v>
      </c>
      <c r="J548" t="s">
        <v>19</v>
      </c>
      <c r="K548" t="s">
        <v>44</v>
      </c>
      <c r="L548" t="s">
        <v>21</v>
      </c>
      <c r="M548" t="s">
        <v>31</v>
      </c>
    </row>
    <row r="549" spans="1:13" x14ac:dyDescent="0.3">
      <c r="A549" t="s">
        <v>950</v>
      </c>
      <c r="B549" t="s">
        <v>107</v>
      </c>
      <c r="C549">
        <v>56</v>
      </c>
      <c r="D549" t="s">
        <v>34</v>
      </c>
      <c r="E549" t="s">
        <v>35</v>
      </c>
      <c r="F549" t="s">
        <v>17</v>
      </c>
      <c r="G549" t="s">
        <v>80</v>
      </c>
      <c r="H549">
        <v>116073.32</v>
      </c>
      <c r="I549">
        <v>14</v>
      </c>
      <c r="J549" t="s">
        <v>19</v>
      </c>
      <c r="K549" t="s">
        <v>44</v>
      </c>
      <c r="L549" t="s">
        <v>112</v>
      </c>
      <c r="M549" t="s">
        <v>31</v>
      </c>
    </row>
    <row r="550" spans="1:13" x14ac:dyDescent="0.3">
      <c r="A550" t="s">
        <v>951</v>
      </c>
      <c r="B550" t="s">
        <v>133</v>
      </c>
      <c r="C550">
        <v>26</v>
      </c>
      <c r="D550" t="s">
        <v>34</v>
      </c>
      <c r="E550" t="s">
        <v>117</v>
      </c>
      <c r="F550" t="s">
        <v>26</v>
      </c>
      <c r="G550" t="s">
        <v>54</v>
      </c>
      <c r="H550">
        <v>138887.21</v>
      </c>
      <c r="I550">
        <v>3</v>
      </c>
      <c r="J550" t="s">
        <v>19</v>
      </c>
      <c r="K550" t="s">
        <v>44</v>
      </c>
      <c r="L550" t="s">
        <v>21</v>
      </c>
      <c r="M550" t="s">
        <v>31</v>
      </c>
    </row>
    <row r="551" spans="1:13" x14ac:dyDescent="0.3">
      <c r="A551" t="s">
        <v>952</v>
      </c>
      <c r="B551" t="s">
        <v>129</v>
      </c>
      <c r="C551">
        <v>7</v>
      </c>
      <c r="D551" t="s">
        <v>15</v>
      </c>
      <c r="E551" t="s">
        <v>25</v>
      </c>
      <c r="F551" t="s">
        <v>26</v>
      </c>
      <c r="G551" t="s">
        <v>27</v>
      </c>
      <c r="H551">
        <v>103839.37</v>
      </c>
      <c r="I551">
        <v>17</v>
      </c>
      <c r="J551" t="s">
        <v>28</v>
      </c>
      <c r="K551" t="s">
        <v>44</v>
      </c>
      <c r="L551" t="s">
        <v>40</v>
      </c>
      <c r="M551" t="s">
        <v>58</v>
      </c>
    </row>
    <row r="552" spans="1:13" x14ac:dyDescent="0.3">
      <c r="A552" t="s">
        <v>953</v>
      </c>
      <c r="B552" t="s">
        <v>212</v>
      </c>
      <c r="C552">
        <v>44</v>
      </c>
      <c r="D552" t="s">
        <v>34</v>
      </c>
      <c r="E552" t="s">
        <v>35</v>
      </c>
      <c r="F552" t="s">
        <v>89</v>
      </c>
      <c r="G552" t="s">
        <v>80</v>
      </c>
      <c r="H552">
        <v>103759.73</v>
      </c>
      <c r="I552">
        <v>18</v>
      </c>
      <c r="J552" t="s">
        <v>28</v>
      </c>
      <c r="K552" t="s">
        <v>74</v>
      </c>
      <c r="L552" t="s">
        <v>40</v>
      </c>
      <c r="M552" t="s">
        <v>58</v>
      </c>
    </row>
    <row r="553" spans="1:13" x14ac:dyDescent="0.3">
      <c r="A553" t="s">
        <v>954</v>
      </c>
      <c r="B553" t="s">
        <v>888</v>
      </c>
      <c r="C553">
        <v>54</v>
      </c>
      <c r="D553" t="s">
        <v>34</v>
      </c>
      <c r="E553" t="s">
        <v>16</v>
      </c>
      <c r="F553" t="s">
        <v>89</v>
      </c>
      <c r="G553" t="s">
        <v>54</v>
      </c>
      <c r="H553">
        <v>26608.639999999999</v>
      </c>
      <c r="I553">
        <v>14</v>
      </c>
      <c r="J553" t="s">
        <v>28</v>
      </c>
      <c r="K553" t="s">
        <v>50</v>
      </c>
      <c r="L553" t="s">
        <v>51</v>
      </c>
      <c r="M553" t="s">
        <v>58</v>
      </c>
    </row>
    <row r="554" spans="1:13" x14ac:dyDescent="0.3">
      <c r="A554" t="s">
        <v>955</v>
      </c>
      <c r="B554" t="s">
        <v>713</v>
      </c>
      <c r="C554">
        <v>83</v>
      </c>
      <c r="D554" t="s">
        <v>15</v>
      </c>
      <c r="E554" t="s">
        <v>25</v>
      </c>
      <c r="F554" t="s">
        <v>79</v>
      </c>
      <c r="G554" t="s">
        <v>80</v>
      </c>
      <c r="H554">
        <v>18171.21</v>
      </c>
      <c r="I554">
        <v>3</v>
      </c>
      <c r="J554" t="s">
        <v>19</v>
      </c>
      <c r="K554" t="s">
        <v>69</v>
      </c>
      <c r="L554" t="s">
        <v>51</v>
      </c>
      <c r="M554" t="s">
        <v>31</v>
      </c>
    </row>
    <row r="555" spans="1:13" x14ac:dyDescent="0.3">
      <c r="A555" t="s">
        <v>956</v>
      </c>
      <c r="B555" t="s">
        <v>911</v>
      </c>
      <c r="C555">
        <v>90</v>
      </c>
      <c r="D555" t="s">
        <v>15</v>
      </c>
      <c r="E555" t="s">
        <v>25</v>
      </c>
      <c r="F555" t="s">
        <v>17</v>
      </c>
      <c r="G555" t="s">
        <v>27</v>
      </c>
      <c r="H555">
        <v>116995.69</v>
      </c>
      <c r="I555">
        <v>6</v>
      </c>
      <c r="J555" t="s">
        <v>28</v>
      </c>
      <c r="K555" t="s">
        <v>39</v>
      </c>
      <c r="L555" t="s">
        <v>21</v>
      </c>
      <c r="M555" t="s">
        <v>58</v>
      </c>
    </row>
    <row r="556" spans="1:13" x14ac:dyDescent="0.3">
      <c r="A556" t="s">
        <v>957</v>
      </c>
      <c r="B556" t="s">
        <v>570</v>
      </c>
      <c r="C556">
        <v>17</v>
      </c>
      <c r="D556" t="s">
        <v>15</v>
      </c>
      <c r="E556" t="s">
        <v>64</v>
      </c>
      <c r="F556" t="s">
        <v>79</v>
      </c>
      <c r="G556" t="s">
        <v>43</v>
      </c>
      <c r="H556">
        <v>120509.17</v>
      </c>
      <c r="I556">
        <v>1</v>
      </c>
      <c r="J556" t="s">
        <v>28</v>
      </c>
      <c r="K556" t="s">
        <v>74</v>
      </c>
      <c r="L556" t="s">
        <v>30</v>
      </c>
      <c r="M556" t="s">
        <v>58</v>
      </c>
    </row>
    <row r="557" spans="1:13" x14ac:dyDescent="0.3">
      <c r="A557" t="s">
        <v>958</v>
      </c>
      <c r="B557" t="s">
        <v>959</v>
      </c>
      <c r="C557">
        <v>70</v>
      </c>
      <c r="D557" t="s">
        <v>15</v>
      </c>
      <c r="E557" t="s">
        <v>16</v>
      </c>
      <c r="F557" t="s">
        <v>84</v>
      </c>
      <c r="G557" t="s">
        <v>27</v>
      </c>
      <c r="H557">
        <v>132248.76999999999</v>
      </c>
      <c r="I557">
        <v>2</v>
      </c>
      <c r="J557" t="s">
        <v>19</v>
      </c>
      <c r="K557" t="s">
        <v>44</v>
      </c>
      <c r="L557" t="s">
        <v>21</v>
      </c>
      <c r="M557" t="s">
        <v>31</v>
      </c>
    </row>
    <row r="558" spans="1:13" x14ac:dyDescent="0.3">
      <c r="A558" t="s">
        <v>960</v>
      </c>
      <c r="B558" t="s">
        <v>491</v>
      </c>
      <c r="C558">
        <v>77</v>
      </c>
      <c r="D558" t="s">
        <v>15</v>
      </c>
      <c r="E558" t="s">
        <v>64</v>
      </c>
      <c r="F558" t="s">
        <v>79</v>
      </c>
      <c r="G558" t="s">
        <v>80</v>
      </c>
      <c r="H558">
        <v>52174.74</v>
      </c>
      <c r="I558">
        <v>15</v>
      </c>
      <c r="J558" t="s">
        <v>28</v>
      </c>
      <c r="K558" t="s">
        <v>29</v>
      </c>
      <c r="L558" t="s">
        <v>112</v>
      </c>
      <c r="M558" t="s">
        <v>58</v>
      </c>
    </row>
    <row r="559" spans="1:13" x14ac:dyDescent="0.3">
      <c r="A559" t="s">
        <v>961</v>
      </c>
      <c r="B559" t="s">
        <v>817</v>
      </c>
      <c r="C559">
        <v>38</v>
      </c>
      <c r="D559" t="s">
        <v>15</v>
      </c>
      <c r="E559" t="s">
        <v>83</v>
      </c>
      <c r="F559" t="s">
        <v>84</v>
      </c>
      <c r="G559" t="s">
        <v>80</v>
      </c>
      <c r="H559">
        <v>29874.9</v>
      </c>
      <c r="I559">
        <v>20</v>
      </c>
      <c r="J559" t="s">
        <v>28</v>
      </c>
      <c r="K559" t="s">
        <v>44</v>
      </c>
      <c r="L559" t="s">
        <v>21</v>
      </c>
      <c r="M559" t="s">
        <v>22</v>
      </c>
    </row>
    <row r="560" spans="1:13" x14ac:dyDescent="0.3">
      <c r="A560" t="s">
        <v>962</v>
      </c>
      <c r="B560" t="s">
        <v>932</v>
      </c>
      <c r="C560">
        <v>4</v>
      </c>
      <c r="D560" t="s">
        <v>34</v>
      </c>
      <c r="E560" t="s">
        <v>64</v>
      </c>
      <c r="F560" t="s">
        <v>89</v>
      </c>
      <c r="G560" t="s">
        <v>36</v>
      </c>
      <c r="H560">
        <v>143559.43</v>
      </c>
      <c r="I560">
        <v>20</v>
      </c>
      <c r="J560" t="s">
        <v>28</v>
      </c>
      <c r="K560" t="s">
        <v>50</v>
      </c>
      <c r="L560" t="s">
        <v>21</v>
      </c>
      <c r="M560" t="s">
        <v>31</v>
      </c>
    </row>
    <row r="561" spans="1:13" x14ac:dyDescent="0.3">
      <c r="A561" t="s">
        <v>963</v>
      </c>
      <c r="B561" t="s">
        <v>789</v>
      </c>
      <c r="C561">
        <v>62</v>
      </c>
      <c r="D561" t="s">
        <v>15</v>
      </c>
      <c r="E561" t="s">
        <v>83</v>
      </c>
      <c r="F561" t="s">
        <v>84</v>
      </c>
      <c r="G561" t="s">
        <v>80</v>
      </c>
      <c r="H561">
        <v>23434.95</v>
      </c>
      <c r="I561">
        <v>4</v>
      </c>
      <c r="J561" t="s">
        <v>19</v>
      </c>
      <c r="K561" t="s">
        <v>55</v>
      </c>
      <c r="L561" t="s">
        <v>51</v>
      </c>
      <c r="M561" t="s">
        <v>22</v>
      </c>
    </row>
    <row r="562" spans="1:13" x14ac:dyDescent="0.3">
      <c r="A562" t="s">
        <v>964</v>
      </c>
      <c r="B562" t="s">
        <v>530</v>
      </c>
      <c r="C562">
        <v>58</v>
      </c>
      <c r="D562" t="s">
        <v>15</v>
      </c>
      <c r="E562" t="s">
        <v>25</v>
      </c>
      <c r="F562" t="s">
        <v>61</v>
      </c>
      <c r="G562" t="s">
        <v>36</v>
      </c>
      <c r="H562">
        <v>31264.25</v>
      </c>
      <c r="I562">
        <v>2</v>
      </c>
      <c r="J562" t="s">
        <v>28</v>
      </c>
      <c r="K562" t="s">
        <v>50</v>
      </c>
      <c r="L562" t="s">
        <v>51</v>
      </c>
      <c r="M562" t="s">
        <v>58</v>
      </c>
    </row>
    <row r="563" spans="1:13" x14ac:dyDescent="0.3">
      <c r="A563" t="s">
        <v>965</v>
      </c>
      <c r="B563" t="s">
        <v>932</v>
      </c>
      <c r="C563">
        <v>64</v>
      </c>
      <c r="D563" t="s">
        <v>34</v>
      </c>
      <c r="E563" t="s">
        <v>117</v>
      </c>
      <c r="F563" t="s">
        <v>84</v>
      </c>
      <c r="G563" t="s">
        <v>43</v>
      </c>
      <c r="H563">
        <v>50946.96</v>
      </c>
      <c r="I563">
        <v>7</v>
      </c>
      <c r="J563" t="s">
        <v>19</v>
      </c>
      <c r="K563" t="s">
        <v>39</v>
      </c>
      <c r="L563" t="s">
        <v>45</v>
      </c>
      <c r="M563" t="s">
        <v>31</v>
      </c>
    </row>
    <row r="564" spans="1:13" x14ac:dyDescent="0.3">
      <c r="A564" t="s">
        <v>966</v>
      </c>
      <c r="B564" t="s">
        <v>93</v>
      </c>
      <c r="C564">
        <v>3</v>
      </c>
      <c r="D564" t="s">
        <v>34</v>
      </c>
      <c r="E564" t="s">
        <v>35</v>
      </c>
      <c r="F564" t="s">
        <v>17</v>
      </c>
      <c r="G564" t="s">
        <v>27</v>
      </c>
      <c r="H564">
        <v>17305.18</v>
      </c>
      <c r="I564">
        <v>15</v>
      </c>
      <c r="J564" t="s">
        <v>19</v>
      </c>
      <c r="K564" t="s">
        <v>74</v>
      </c>
      <c r="L564" t="s">
        <v>40</v>
      </c>
      <c r="M564" t="s">
        <v>22</v>
      </c>
    </row>
    <row r="565" spans="1:13" x14ac:dyDescent="0.3">
      <c r="A565" t="s">
        <v>967</v>
      </c>
      <c r="B565" t="s">
        <v>913</v>
      </c>
      <c r="C565">
        <v>26</v>
      </c>
      <c r="D565" t="s">
        <v>15</v>
      </c>
      <c r="E565" t="s">
        <v>25</v>
      </c>
      <c r="F565" t="s">
        <v>26</v>
      </c>
      <c r="G565" t="s">
        <v>18</v>
      </c>
      <c r="H565">
        <v>99282.12</v>
      </c>
      <c r="I565">
        <v>9</v>
      </c>
      <c r="J565" t="s">
        <v>28</v>
      </c>
      <c r="K565" t="s">
        <v>55</v>
      </c>
      <c r="L565" t="s">
        <v>40</v>
      </c>
      <c r="M565" t="s">
        <v>58</v>
      </c>
    </row>
    <row r="566" spans="1:13" x14ac:dyDescent="0.3">
      <c r="A566" t="s">
        <v>968</v>
      </c>
      <c r="B566" t="s">
        <v>459</v>
      </c>
      <c r="C566">
        <v>87</v>
      </c>
      <c r="D566" t="s">
        <v>34</v>
      </c>
      <c r="E566" t="s">
        <v>117</v>
      </c>
      <c r="F566" t="s">
        <v>26</v>
      </c>
      <c r="G566" t="s">
        <v>18</v>
      </c>
      <c r="H566">
        <v>126732.82</v>
      </c>
      <c r="I566">
        <v>20</v>
      </c>
      <c r="J566" t="s">
        <v>28</v>
      </c>
      <c r="K566" t="s">
        <v>20</v>
      </c>
      <c r="L566" t="s">
        <v>112</v>
      </c>
      <c r="M566" t="s">
        <v>22</v>
      </c>
    </row>
    <row r="567" spans="1:13" x14ac:dyDescent="0.3">
      <c r="A567" t="s">
        <v>969</v>
      </c>
      <c r="B567" t="s">
        <v>970</v>
      </c>
      <c r="C567">
        <v>5</v>
      </c>
      <c r="D567" t="s">
        <v>15</v>
      </c>
      <c r="E567" t="s">
        <v>25</v>
      </c>
      <c r="F567" t="s">
        <v>61</v>
      </c>
      <c r="G567" t="s">
        <v>54</v>
      </c>
      <c r="H567">
        <v>136513.01999999999</v>
      </c>
      <c r="I567">
        <v>7</v>
      </c>
      <c r="J567" t="s">
        <v>19</v>
      </c>
      <c r="K567" t="s">
        <v>39</v>
      </c>
      <c r="L567" t="s">
        <v>112</v>
      </c>
      <c r="M567" t="s">
        <v>58</v>
      </c>
    </row>
    <row r="568" spans="1:13" x14ac:dyDescent="0.3">
      <c r="A568" t="s">
        <v>971</v>
      </c>
      <c r="B568" t="s">
        <v>186</v>
      </c>
      <c r="C568">
        <v>2</v>
      </c>
      <c r="D568" t="s">
        <v>15</v>
      </c>
      <c r="E568" t="s">
        <v>83</v>
      </c>
      <c r="F568" t="s">
        <v>79</v>
      </c>
      <c r="G568" t="s">
        <v>36</v>
      </c>
      <c r="H568">
        <v>109529.9</v>
      </c>
      <c r="I568">
        <v>15</v>
      </c>
      <c r="J568" t="s">
        <v>28</v>
      </c>
      <c r="K568" t="s">
        <v>55</v>
      </c>
      <c r="L568" t="s">
        <v>45</v>
      </c>
      <c r="M568" t="s">
        <v>58</v>
      </c>
    </row>
    <row r="569" spans="1:13" x14ac:dyDescent="0.3">
      <c r="A569" t="s">
        <v>972</v>
      </c>
      <c r="B569" t="s">
        <v>940</v>
      </c>
      <c r="C569">
        <v>71</v>
      </c>
      <c r="D569" t="s">
        <v>15</v>
      </c>
      <c r="E569" t="s">
        <v>16</v>
      </c>
      <c r="F569" t="s">
        <v>84</v>
      </c>
      <c r="G569" t="s">
        <v>36</v>
      </c>
      <c r="H569">
        <v>114193.78</v>
      </c>
      <c r="I569">
        <v>20</v>
      </c>
      <c r="J569" t="s">
        <v>28</v>
      </c>
      <c r="K569" t="s">
        <v>69</v>
      </c>
      <c r="L569" t="s">
        <v>45</v>
      </c>
      <c r="M569" t="s">
        <v>58</v>
      </c>
    </row>
    <row r="570" spans="1:13" x14ac:dyDescent="0.3">
      <c r="A570" t="s">
        <v>973</v>
      </c>
      <c r="B570" t="s">
        <v>207</v>
      </c>
      <c r="C570">
        <v>89</v>
      </c>
      <c r="D570" t="s">
        <v>34</v>
      </c>
      <c r="E570" t="s">
        <v>25</v>
      </c>
      <c r="F570" t="s">
        <v>79</v>
      </c>
      <c r="G570" t="s">
        <v>36</v>
      </c>
      <c r="H570">
        <v>25939.42</v>
      </c>
      <c r="I570">
        <v>8</v>
      </c>
      <c r="J570" t="s">
        <v>28</v>
      </c>
      <c r="K570" t="s">
        <v>44</v>
      </c>
      <c r="L570" t="s">
        <v>40</v>
      </c>
      <c r="M570" t="s">
        <v>22</v>
      </c>
    </row>
    <row r="571" spans="1:13" x14ac:dyDescent="0.3">
      <c r="A571" t="s">
        <v>974</v>
      </c>
      <c r="B571" t="s">
        <v>761</v>
      </c>
      <c r="C571">
        <v>18</v>
      </c>
      <c r="D571" t="s">
        <v>34</v>
      </c>
      <c r="E571" t="s">
        <v>35</v>
      </c>
      <c r="F571" t="s">
        <v>61</v>
      </c>
      <c r="G571" t="s">
        <v>27</v>
      </c>
      <c r="H571">
        <v>123442.77</v>
      </c>
      <c r="I571">
        <v>15</v>
      </c>
      <c r="J571" t="s">
        <v>19</v>
      </c>
      <c r="K571" t="s">
        <v>39</v>
      </c>
      <c r="L571" t="s">
        <v>40</v>
      </c>
      <c r="M571" t="s">
        <v>22</v>
      </c>
    </row>
    <row r="572" spans="1:13" x14ac:dyDescent="0.3">
      <c r="A572" t="s">
        <v>975</v>
      </c>
      <c r="B572" t="s">
        <v>418</v>
      </c>
      <c r="C572">
        <v>50</v>
      </c>
      <c r="D572" t="s">
        <v>34</v>
      </c>
      <c r="E572" t="s">
        <v>35</v>
      </c>
      <c r="F572" t="s">
        <v>89</v>
      </c>
      <c r="G572" t="s">
        <v>18</v>
      </c>
      <c r="H572">
        <v>146082.45000000001</v>
      </c>
      <c r="I572">
        <v>17</v>
      </c>
      <c r="J572" t="s">
        <v>19</v>
      </c>
      <c r="K572" t="s">
        <v>55</v>
      </c>
      <c r="L572" t="s">
        <v>51</v>
      </c>
      <c r="M572" t="s">
        <v>58</v>
      </c>
    </row>
    <row r="573" spans="1:13" x14ac:dyDescent="0.3">
      <c r="A573" t="s">
        <v>976</v>
      </c>
      <c r="B573" t="s">
        <v>651</v>
      </c>
      <c r="C573">
        <v>76</v>
      </c>
      <c r="D573" t="s">
        <v>34</v>
      </c>
      <c r="E573" t="s">
        <v>64</v>
      </c>
      <c r="F573" t="s">
        <v>89</v>
      </c>
      <c r="G573" t="s">
        <v>43</v>
      </c>
      <c r="H573">
        <v>118242.65</v>
      </c>
      <c r="I573">
        <v>12</v>
      </c>
      <c r="J573" t="s">
        <v>19</v>
      </c>
      <c r="K573" t="s">
        <v>44</v>
      </c>
      <c r="L573" t="s">
        <v>112</v>
      </c>
      <c r="M573" t="s">
        <v>58</v>
      </c>
    </row>
    <row r="574" spans="1:13" x14ac:dyDescent="0.3">
      <c r="A574" t="s">
        <v>977</v>
      </c>
      <c r="B574" t="s">
        <v>675</v>
      </c>
      <c r="C574">
        <v>36</v>
      </c>
      <c r="D574" t="s">
        <v>34</v>
      </c>
      <c r="E574" t="s">
        <v>64</v>
      </c>
      <c r="F574" t="s">
        <v>17</v>
      </c>
      <c r="G574" t="s">
        <v>36</v>
      </c>
      <c r="H574">
        <v>142050.69</v>
      </c>
      <c r="I574">
        <v>7</v>
      </c>
      <c r="J574" t="s">
        <v>19</v>
      </c>
      <c r="K574" t="s">
        <v>69</v>
      </c>
      <c r="L574" t="s">
        <v>112</v>
      </c>
      <c r="M574" t="s">
        <v>22</v>
      </c>
    </row>
    <row r="575" spans="1:13" x14ac:dyDescent="0.3">
      <c r="A575" t="s">
        <v>978</v>
      </c>
      <c r="B575" t="s">
        <v>428</v>
      </c>
      <c r="C575">
        <v>22</v>
      </c>
      <c r="D575" t="s">
        <v>15</v>
      </c>
      <c r="E575" t="s">
        <v>83</v>
      </c>
      <c r="F575" t="s">
        <v>61</v>
      </c>
      <c r="G575" t="s">
        <v>80</v>
      </c>
      <c r="H575">
        <v>23178.07</v>
      </c>
      <c r="I575">
        <v>2</v>
      </c>
      <c r="J575" t="s">
        <v>19</v>
      </c>
      <c r="K575" t="s">
        <v>44</v>
      </c>
      <c r="L575" t="s">
        <v>51</v>
      </c>
      <c r="M575" t="s">
        <v>22</v>
      </c>
    </row>
    <row r="576" spans="1:13" x14ac:dyDescent="0.3">
      <c r="A576" t="s">
        <v>979</v>
      </c>
      <c r="B576" t="s">
        <v>160</v>
      </c>
      <c r="C576">
        <v>68</v>
      </c>
      <c r="D576" t="s">
        <v>15</v>
      </c>
      <c r="E576" t="s">
        <v>16</v>
      </c>
      <c r="F576" t="s">
        <v>84</v>
      </c>
      <c r="G576" t="s">
        <v>27</v>
      </c>
      <c r="H576">
        <v>83473.25</v>
      </c>
      <c r="I576">
        <v>11</v>
      </c>
      <c r="J576" t="s">
        <v>28</v>
      </c>
      <c r="K576" t="s">
        <v>29</v>
      </c>
      <c r="L576" t="s">
        <v>30</v>
      </c>
      <c r="M576" t="s">
        <v>31</v>
      </c>
    </row>
    <row r="577" spans="1:13" x14ac:dyDescent="0.3">
      <c r="A577" t="s">
        <v>980</v>
      </c>
      <c r="B577" t="s">
        <v>981</v>
      </c>
      <c r="C577">
        <v>90</v>
      </c>
      <c r="D577" t="s">
        <v>15</v>
      </c>
      <c r="E577" t="s">
        <v>117</v>
      </c>
      <c r="F577" t="s">
        <v>17</v>
      </c>
      <c r="G577" t="s">
        <v>18</v>
      </c>
      <c r="H577">
        <v>120211.14</v>
      </c>
      <c r="I577">
        <v>12</v>
      </c>
      <c r="J577" t="s">
        <v>28</v>
      </c>
      <c r="K577" t="s">
        <v>20</v>
      </c>
      <c r="L577" t="s">
        <v>40</v>
      </c>
      <c r="M577" t="s">
        <v>31</v>
      </c>
    </row>
    <row r="578" spans="1:13" x14ac:dyDescent="0.3">
      <c r="A578" t="s">
        <v>982</v>
      </c>
      <c r="B578" t="s">
        <v>530</v>
      </c>
      <c r="C578">
        <v>17</v>
      </c>
      <c r="D578" t="s">
        <v>34</v>
      </c>
      <c r="E578" t="s">
        <v>83</v>
      </c>
      <c r="F578" t="s">
        <v>89</v>
      </c>
      <c r="G578" t="s">
        <v>43</v>
      </c>
      <c r="H578">
        <v>126419.41</v>
      </c>
      <c r="I578">
        <v>19</v>
      </c>
      <c r="J578" t="s">
        <v>19</v>
      </c>
      <c r="K578" t="s">
        <v>20</v>
      </c>
      <c r="L578" t="s">
        <v>40</v>
      </c>
      <c r="M578" t="s">
        <v>31</v>
      </c>
    </row>
    <row r="579" spans="1:13" x14ac:dyDescent="0.3">
      <c r="A579" t="s">
        <v>983</v>
      </c>
      <c r="B579" t="s">
        <v>984</v>
      </c>
      <c r="C579">
        <v>37</v>
      </c>
      <c r="D579" t="s">
        <v>34</v>
      </c>
      <c r="E579" t="s">
        <v>25</v>
      </c>
      <c r="F579" t="s">
        <v>26</v>
      </c>
      <c r="G579" t="s">
        <v>54</v>
      </c>
      <c r="H579">
        <v>137188.82999999999</v>
      </c>
      <c r="I579">
        <v>16</v>
      </c>
      <c r="J579" t="s">
        <v>28</v>
      </c>
      <c r="K579" t="s">
        <v>74</v>
      </c>
      <c r="L579" t="s">
        <v>112</v>
      </c>
      <c r="M579" t="s">
        <v>31</v>
      </c>
    </row>
    <row r="580" spans="1:13" x14ac:dyDescent="0.3">
      <c r="A580" t="s">
        <v>985</v>
      </c>
      <c r="B580" t="s">
        <v>918</v>
      </c>
      <c r="C580">
        <v>61</v>
      </c>
      <c r="D580" t="s">
        <v>34</v>
      </c>
      <c r="E580" t="s">
        <v>16</v>
      </c>
      <c r="F580" t="s">
        <v>79</v>
      </c>
      <c r="G580" t="s">
        <v>36</v>
      </c>
      <c r="H580">
        <v>12888.57</v>
      </c>
      <c r="I580">
        <v>14</v>
      </c>
      <c r="J580" t="s">
        <v>28</v>
      </c>
      <c r="K580" t="s">
        <v>74</v>
      </c>
      <c r="L580" t="s">
        <v>112</v>
      </c>
      <c r="M580" t="s">
        <v>22</v>
      </c>
    </row>
    <row r="581" spans="1:13" x14ac:dyDescent="0.3">
      <c r="A581" t="s">
        <v>986</v>
      </c>
      <c r="B581" t="s">
        <v>987</v>
      </c>
      <c r="C581">
        <v>52</v>
      </c>
      <c r="D581" t="s">
        <v>15</v>
      </c>
      <c r="E581" t="s">
        <v>83</v>
      </c>
      <c r="F581" t="s">
        <v>79</v>
      </c>
      <c r="G581" t="s">
        <v>54</v>
      </c>
      <c r="H581">
        <v>4053.55</v>
      </c>
      <c r="I581">
        <v>15</v>
      </c>
      <c r="J581" t="s">
        <v>28</v>
      </c>
      <c r="K581" t="s">
        <v>69</v>
      </c>
      <c r="L581" t="s">
        <v>40</v>
      </c>
      <c r="M581" t="s">
        <v>22</v>
      </c>
    </row>
    <row r="582" spans="1:13" x14ac:dyDescent="0.3">
      <c r="A582" t="s">
        <v>988</v>
      </c>
      <c r="B582" t="s">
        <v>989</v>
      </c>
      <c r="C582">
        <v>55</v>
      </c>
      <c r="D582" t="s">
        <v>34</v>
      </c>
      <c r="E582" t="s">
        <v>117</v>
      </c>
      <c r="F582" t="s">
        <v>61</v>
      </c>
      <c r="G582" t="s">
        <v>43</v>
      </c>
      <c r="H582">
        <v>122671.05</v>
      </c>
      <c r="I582">
        <v>2</v>
      </c>
      <c r="J582" t="s">
        <v>19</v>
      </c>
      <c r="K582" t="s">
        <v>74</v>
      </c>
      <c r="L582" t="s">
        <v>30</v>
      </c>
      <c r="M582" t="s">
        <v>58</v>
      </c>
    </row>
    <row r="583" spans="1:13" x14ac:dyDescent="0.3">
      <c r="A583" t="s">
        <v>990</v>
      </c>
      <c r="B583" t="s">
        <v>852</v>
      </c>
      <c r="C583">
        <v>26</v>
      </c>
      <c r="D583" t="s">
        <v>15</v>
      </c>
      <c r="E583" t="s">
        <v>64</v>
      </c>
      <c r="F583" t="s">
        <v>61</v>
      </c>
      <c r="G583" t="s">
        <v>80</v>
      </c>
      <c r="H583">
        <v>112166.55</v>
      </c>
      <c r="I583">
        <v>4</v>
      </c>
      <c r="J583" t="s">
        <v>28</v>
      </c>
      <c r="K583" t="s">
        <v>74</v>
      </c>
      <c r="L583" t="s">
        <v>45</v>
      </c>
      <c r="M583" t="s">
        <v>31</v>
      </c>
    </row>
    <row r="584" spans="1:13" x14ac:dyDescent="0.3">
      <c r="A584" t="s">
        <v>991</v>
      </c>
      <c r="B584" t="s">
        <v>244</v>
      </c>
      <c r="C584">
        <v>11</v>
      </c>
      <c r="D584" t="s">
        <v>15</v>
      </c>
      <c r="E584" t="s">
        <v>35</v>
      </c>
      <c r="F584" t="s">
        <v>26</v>
      </c>
      <c r="G584" t="s">
        <v>43</v>
      </c>
      <c r="H584">
        <v>109951.58</v>
      </c>
      <c r="I584">
        <v>12</v>
      </c>
      <c r="J584" t="s">
        <v>19</v>
      </c>
      <c r="K584" t="s">
        <v>39</v>
      </c>
      <c r="L584" t="s">
        <v>112</v>
      </c>
      <c r="M584" t="s">
        <v>22</v>
      </c>
    </row>
    <row r="585" spans="1:13" x14ac:dyDescent="0.3">
      <c r="A585" t="s">
        <v>992</v>
      </c>
      <c r="B585" t="s">
        <v>379</v>
      </c>
      <c r="C585">
        <v>72</v>
      </c>
      <c r="D585" t="s">
        <v>15</v>
      </c>
      <c r="E585" t="s">
        <v>25</v>
      </c>
      <c r="F585" t="s">
        <v>17</v>
      </c>
      <c r="G585" t="s">
        <v>36</v>
      </c>
      <c r="H585">
        <v>28101.4</v>
      </c>
      <c r="I585">
        <v>5</v>
      </c>
      <c r="J585" t="s">
        <v>28</v>
      </c>
      <c r="K585" t="s">
        <v>74</v>
      </c>
      <c r="L585" t="s">
        <v>45</v>
      </c>
      <c r="M585" t="s">
        <v>31</v>
      </c>
    </row>
    <row r="586" spans="1:13" x14ac:dyDescent="0.3">
      <c r="A586" t="s">
        <v>993</v>
      </c>
      <c r="B586" t="s">
        <v>994</v>
      </c>
      <c r="C586">
        <v>49</v>
      </c>
      <c r="D586" t="s">
        <v>15</v>
      </c>
      <c r="E586" t="s">
        <v>35</v>
      </c>
      <c r="F586" t="s">
        <v>89</v>
      </c>
      <c r="G586" t="s">
        <v>43</v>
      </c>
      <c r="H586">
        <v>35486.53</v>
      </c>
      <c r="I586">
        <v>17</v>
      </c>
      <c r="J586" t="s">
        <v>28</v>
      </c>
      <c r="K586" t="s">
        <v>20</v>
      </c>
      <c r="L586" t="s">
        <v>30</v>
      </c>
      <c r="M586" t="s">
        <v>22</v>
      </c>
    </row>
    <row r="587" spans="1:13" x14ac:dyDescent="0.3">
      <c r="A587" t="s">
        <v>995</v>
      </c>
      <c r="B587" t="s">
        <v>841</v>
      </c>
      <c r="C587">
        <v>12</v>
      </c>
      <c r="D587" t="s">
        <v>15</v>
      </c>
      <c r="E587" t="s">
        <v>16</v>
      </c>
      <c r="F587" t="s">
        <v>26</v>
      </c>
      <c r="G587" t="s">
        <v>43</v>
      </c>
      <c r="H587">
        <v>115781.48</v>
      </c>
      <c r="I587">
        <v>4</v>
      </c>
      <c r="J587" t="s">
        <v>19</v>
      </c>
      <c r="K587" t="s">
        <v>50</v>
      </c>
      <c r="L587" t="s">
        <v>30</v>
      </c>
      <c r="M587" t="s">
        <v>31</v>
      </c>
    </row>
    <row r="588" spans="1:13" x14ac:dyDescent="0.3">
      <c r="A588" t="s">
        <v>996</v>
      </c>
      <c r="B588" t="s">
        <v>997</v>
      </c>
      <c r="C588">
        <v>21</v>
      </c>
      <c r="D588" t="s">
        <v>34</v>
      </c>
      <c r="E588" t="s">
        <v>83</v>
      </c>
      <c r="F588" t="s">
        <v>89</v>
      </c>
      <c r="G588" t="s">
        <v>27</v>
      </c>
      <c r="H588">
        <v>3895.17</v>
      </c>
      <c r="I588">
        <v>17</v>
      </c>
      <c r="J588" t="s">
        <v>28</v>
      </c>
      <c r="K588" t="s">
        <v>39</v>
      </c>
      <c r="L588" t="s">
        <v>40</v>
      </c>
      <c r="M588" t="s">
        <v>58</v>
      </c>
    </row>
    <row r="589" spans="1:13" x14ac:dyDescent="0.3">
      <c r="A589" t="s">
        <v>998</v>
      </c>
      <c r="B589" t="s">
        <v>240</v>
      </c>
      <c r="C589">
        <v>54</v>
      </c>
      <c r="D589" t="s">
        <v>15</v>
      </c>
      <c r="E589" t="s">
        <v>16</v>
      </c>
      <c r="F589" t="s">
        <v>61</v>
      </c>
      <c r="G589" t="s">
        <v>36</v>
      </c>
      <c r="H589">
        <v>69924.600000000006</v>
      </c>
      <c r="I589">
        <v>14</v>
      </c>
      <c r="J589" t="s">
        <v>28</v>
      </c>
      <c r="K589" t="s">
        <v>69</v>
      </c>
      <c r="L589" t="s">
        <v>45</v>
      </c>
      <c r="M589" t="s">
        <v>58</v>
      </c>
    </row>
    <row r="590" spans="1:13" x14ac:dyDescent="0.3">
      <c r="A590" t="s">
        <v>999</v>
      </c>
      <c r="B590" t="s">
        <v>759</v>
      </c>
      <c r="C590">
        <v>7</v>
      </c>
      <c r="D590" t="s">
        <v>34</v>
      </c>
      <c r="E590" t="s">
        <v>25</v>
      </c>
      <c r="F590" t="s">
        <v>26</v>
      </c>
      <c r="G590" t="s">
        <v>54</v>
      </c>
      <c r="H590">
        <v>3363.41</v>
      </c>
      <c r="I590">
        <v>15</v>
      </c>
      <c r="J590" t="s">
        <v>19</v>
      </c>
      <c r="K590" t="s">
        <v>50</v>
      </c>
      <c r="L590" t="s">
        <v>30</v>
      </c>
      <c r="M590" t="s">
        <v>22</v>
      </c>
    </row>
    <row r="591" spans="1:13" x14ac:dyDescent="0.3">
      <c r="A591" t="s">
        <v>1000</v>
      </c>
      <c r="B591" t="s">
        <v>420</v>
      </c>
      <c r="C591">
        <v>70</v>
      </c>
      <c r="D591" t="s">
        <v>15</v>
      </c>
      <c r="E591" t="s">
        <v>64</v>
      </c>
      <c r="F591" t="s">
        <v>26</v>
      </c>
      <c r="G591" t="s">
        <v>18</v>
      </c>
      <c r="H591">
        <v>39161.879999999997</v>
      </c>
      <c r="I591">
        <v>16</v>
      </c>
      <c r="J591" t="s">
        <v>19</v>
      </c>
      <c r="K591" t="s">
        <v>20</v>
      </c>
      <c r="L591" t="s">
        <v>30</v>
      </c>
      <c r="M591" t="s">
        <v>58</v>
      </c>
    </row>
    <row r="592" spans="1:13" x14ac:dyDescent="0.3">
      <c r="A592" t="s">
        <v>1001</v>
      </c>
      <c r="B592" t="s">
        <v>602</v>
      </c>
      <c r="C592">
        <v>28</v>
      </c>
      <c r="D592" t="s">
        <v>15</v>
      </c>
      <c r="E592" t="s">
        <v>35</v>
      </c>
      <c r="F592" t="s">
        <v>84</v>
      </c>
      <c r="G592" t="s">
        <v>80</v>
      </c>
      <c r="H592">
        <v>83370.84</v>
      </c>
      <c r="I592">
        <v>8</v>
      </c>
      <c r="J592" t="s">
        <v>28</v>
      </c>
      <c r="K592" t="s">
        <v>29</v>
      </c>
      <c r="L592" t="s">
        <v>112</v>
      </c>
      <c r="M592" t="s">
        <v>22</v>
      </c>
    </row>
    <row r="593" spans="1:13" x14ac:dyDescent="0.3">
      <c r="A593" t="s">
        <v>1002</v>
      </c>
      <c r="B593" t="s">
        <v>1003</v>
      </c>
      <c r="C593">
        <v>39</v>
      </c>
      <c r="D593" t="s">
        <v>15</v>
      </c>
      <c r="E593" t="s">
        <v>25</v>
      </c>
      <c r="F593" t="s">
        <v>61</v>
      </c>
      <c r="G593" t="s">
        <v>18</v>
      </c>
      <c r="H593">
        <v>81405.69</v>
      </c>
      <c r="I593">
        <v>4</v>
      </c>
      <c r="J593" t="s">
        <v>19</v>
      </c>
      <c r="K593" t="s">
        <v>29</v>
      </c>
      <c r="L593" t="s">
        <v>21</v>
      </c>
      <c r="M593" t="s">
        <v>31</v>
      </c>
    </row>
    <row r="594" spans="1:13" x14ac:dyDescent="0.3">
      <c r="A594" t="s">
        <v>1004</v>
      </c>
      <c r="B594" t="s">
        <v>1005</v>
      </c>
      <c r="C594">
        <v>81</v>
      </c>
      <c r="D594" t="s">
        <v>15</v>
      </c>
      <c r="E594" t="s">
        <v>64</v>
      </c>
      <c r="F594" t="s">
        <v>17</v>
      </c>
      <c r="G594" t="s">
        <v>18</v>
      </c>
      <c r="H594">
        <v>21520.03</v>
      </c>
      <c r="I594">
        <v>8</v>
      </c>
      <c r="J594" t="s">
        <v>28</v>
      </c>
      <c r="K594" t="s">
        <v>74</v>
      </c>
      <c r="L594" t="s">
        <v>30</v>
      </c>
      <c r="M594" t="s">
        <v>58</v>
      </c>
    </row>
    <row r="595" spans="1:13" x14ac:dyDescent="0.3">
      <c r="A595" t="s">
        <v>1006</v>
      </c>
      <c r="B595" t="s">
        <v>803</v>
      </c>
      <c r="C595">
        <v>89</v>
      </c>
      <c r="D595" t="s">
        <v>15</v>
      </c>
      <c r="E595" t="s">
        <v>64</v>
      </c>
      <c r="F595" t="s">
        <v>17</v>
      </c>
      <c r="G595" t="s">
        <v>80</v>
      </c>
      <c r="H595">
        <v>28517.54</v>
      </c>
      <c r="I595">
        <v>8</v>
      </c>
      <c r="J595" t="s">
        <v>28</v>
      </c>
      <c r="K595" t="s">
        <v>50</v>
      </c>
      <c r="L595" t="s">
        <v>30</v>
      </c>
      <c r="M595" t="s">
        <v>22</v>
      </c>
    </row>
    <row r="596" spans="1:13" x14ac:dyDescent="0.3">
      <c r="A596" t="s">
        <v>1007</v>
      </c>
      <c r="B596" t="s">
        <v>1008</v>
      </c>
      <c r="C596">
        <v>51</v>
      </c>
      <c r="D596" t="s">
        <v>34</v>
      </c>
      <c r="E596" t="s">
        <v>35</v>
      </c>
      <c r="F596" t="s">
        <v>26</v>
      </c>
      <c r="G596" t="s">
        <v>27</v>
      </c>
      <c r="H596">
        <v>51743.88</v>
      </c>
      <c r="I596">
        <v>11</v>
      </c>
      <c r="J596" t="s">
        <v>28</v>
      </c>
      <c r="K596" t="s">
        <v>44</v>
      </c>
      <c r="L596" t="s">
        <v>40</v>
      </c>
      <c r="M596" t="s">
        <v>22</v>
      </c>
    </row>
    <row r="597" spans="1:13" x14ac:dyDescent="0.3">
      <c r="A597" t="s">
        <v>1009</v>
      </c>
      <c r="B597" t="s">
        <v>1010</v>
      </c>
      <c r="C597">
        <v>82</v>
      </c>
      <c r="D597" t="s">
        <v>34</v>
      </c>
      <c r="E597" t="s">
        <v>16</v>
      </c>
      <c r="F597" t="s">
        <v>17</v>
      </c>
      <c r="G597" t="s">
        <v>36</v>
      </c>
      <c r="H597">
        <v>126948.33</v>
      </c>
      <c r="I597">
        <v>20</v>
      </c>
      <c r="J597" t="s">
        <v>28</v>
      </c>
      <c r="K597" t="s">
        <v>55</v>
      </c>
      <c r="L597" t="s">
        <v>51</v>
      </c>
      <c r="M597" t="s">
        <v>58</v>
      </c>
    </row>
    <row r="598" spans="1:13" x14ac:dyDescent="0.3">
      <c r="A598" t="s">
        <v>1011</v>
      </c>
      <c r="B598" t="s">
        <v>73</v>
      </c>
      <c r="C598">
        <v>65</v>
      </c>
      <c r="D598" t="s">
        <v>15</v>
      </c>
      <c r="E598" t="s">
        <v>16</v>
      </c>
      <c r="F598" t="s">
        <v>17</v>
      </c>
      <c r="G598" t="s">
        <v>27</v>
      </c>
      <c r="H598">
        <v>49345.22</v>
      </c>
      <c r="I598">
        <v>5</v>
      </c>
      <c r="J598" t="s">
        <v>19</v>
      </c>
      <c r="K598" t="s">
        <v>39</v>
      </c>
      <c r="L598" t="s">
        <v>30</v>
      </c>
      <c r="M598" t="s">
        <v>22</v>
      </c>
    </row>
    <row r="599" spans="1:13" x14ac:dyDescent="0.3">
      <c r="A599" t="s">
        <v>1012</v>
      </c>
      <c r="B599" t="s">
        <v>1013</v>
      </c>
      <c r="C599">
        <v>9</v>
      </c>
      <c r="D599" t="s">
        <v>34</v>
      </c>
      <c r="E599" t="s">
        <v>83</v>
      </c>
      <c r="F599" t="s">
        <v>79</v>
      </c>
      <c r="G599" t="s">
        <v>36</v>
      </c>
      <c r="H599">
        <v>94289.41</v>
      </c>
      <c r="I599">
        <v>2</v>
      </c>
      <c r="J599" t="s">
        <v>19</v>
      </c>
      <c r="K599" t="s">
        <v>50</v>
      </c>
      <c r="L599" t="s">
        <v>51</v>
      </c>
      <c r="M599" t="s">
        <v>31</v>
      </c>
    </row>
    <row r="600" spans="1:13" x14ac:dyDescent="0.3">
      <c r="A600" t="s">
        <v>1014</v>
      </c>
      <c r="B600" t="s">
        <v>1015</v>
      </c>
      <c r="C600">
        <v>19</v>
      </c>
      <c r="D600" t="s">
        <v>15</v>
      </c>
      <c r="E600" t="s">
        <v>64</v>
      </c>
      <c r="F600" t="s">
        <v>89</v>
      </c>
      <c r="G600" t="s">
        <v>80</v>
      </c>
      <c r="H600">
        <v>78155.67</v>
      </c>
      <c r="I600">
        <v>18</v>
      </c>
      <c r="J600" t="s">
        <v>28</v>
      </c>
      <c r="K600" t="s">
        <v>74</v>
      </c>
      <c r="L600" t="s">
        <v>40</v>
      </c>
      <c r="M600" t="s">
        <v>22</v>
      </c>
    </row>
    <row r="601" spans="1:13" x14ac:dyDescent="0.3">
      <c r="A601" t="s">
        <v>1016</v>
      </c>
      <c r="B601" t="s">
        <v>269</v>
      </c>
      <c r="C601">
        <v>6</v>
      </c>
      <c r="D601" t="s">
        <v>34</v>
      </c>
      <c r="E601" t="s">
        <v>117</v>
      </c>
      <c r="F601" t="s">
        <v>26</v>
      </c>
      <c r="G601" t="s">
        <v>43</v>
      </c>
      <c r="H601">
        <v>14402.33</v>
      </c>
      <c r="I601">
        <v>13</v>
      </c>
      <c r="J601" t="s">
        <v>19</v>
      </c>
      <c r="K601" t="s">
        <v>69</v>
      </c>
      <c r="L601" t="s">
        <v>21</v>
      </c>
      <c r="M601" t="s">
        <v>58</v>
      </c>
    </row>
    <row r="602" spans="1:13" x14ac:dyDescent="0.3">
      <c r="A602" t="s">
        <v>1017</v>
      </c>
      <c r="B602" t="s">
        <v>289</v>
      </c>
      <c r="C602">
        <v>82</v>
      </c>
      <c r="D602" t="s">
        <v>34</v>
      </c>
      <c r="E602" t="s">
        <v>64</v>
      </c>
      <c r="F602" t="s">
        <v>89</v>
      </c>
      <c r="G602" t="s">
        <v>80</v>
      </c>
      <c r="H602">
        <v>99856.34</v>
      </c>
      <c r="I602">
        <v>19</v>
      </c>
      <c r="J602" t="s">
        <v>28</v>
      </c>
      <c r="K602" t="s">
        <v>69</v>
      </c>
      <c r="L602" t="s">
        <v>30</v>
      </c>
      <c r="M602" t="s">
        <v>22</v>
      </c>
    </row>
    <row r="603" spans="1:13" x14ac:dyDescent="0.3">
      <c r="A603" t="s">
        <v>1018</v>
      </c>
      <c r="B603" t="s">
        <v>1019</v>
      </c>
      <c r="C603">
        <v>83</v>
      </c>
      <c r="D603" t="s">
        <v>34</v>
      </c>
      <c r="E603" t="s">
        <v>64</v>
      </c>
      <c r="F603" t="s">
        <v>61</v>
      </c>
      <c r="G603" t="s">
        <v>54</v>
      </c>
      <c r="H603">
        <v>83598.03</v>
      </c>
      <c r="I603">
        <v>8</v>
      </c>
      <c r="J603" t="s">
        <v>28</v>
      </c>
      <c r="K603" t="s">
        <v>74</v>
      </c>
      <c r="L603" t="s">
        <v>112</v>
      </c>
      <c r="M603" t="s">
        <v>22</v>
      </c>
    </row>
    <row r="604" spans="1:13" x14ac:dyDescent="0.3">
      <c r="A604" t="s">
        <v>1020</v>
      </c>
      <c r="B604" t="s">
        <v>550</v>
      </c>
      <c r="C604">
        <v>39</v>
      </c>
      <c r="D604" t="s">
        <v>34</v>
      </c>
      <c r="E604" t="s">
        <v>64</v>
      </c>
      <c r="F604" t="s">
        <v>26</v>
      </c>
      <c r="G604" t="s">
        <v>27</v>
      </c>
      <c r="H604">
        <v>56073.73</v>
      </c>
      <c r="I604">
        <v>12</v>
      </c>
      <c r="J604" t="s">
        <v>28</v>
      </c>
      <c r="K604" t="s">
        <v>20</v>
      </c>
      <c r="L604" t="s">
        <v>40</v>
      </c>
      <c r="M604" t="s">
        <v>58</v>
      </c>
    </row>
    <row r="605" spans="1:13" x14ac:dyDescent="0.3">
      <c r="A605" t="s">
        <v>1021</v>
      </c>
      <c r="B605" t="s">
        <v>741</v>
      </c>
      <c r="C605">
        <v>15</v>
      </c>
      <c r="D605" t="s">
        <v>34</v>
      </c>
      <c r="E605" t="s">
        <v>35</v>
      </c>
      <c r="F605" t="s">
        <v>79</v>
      </c>
      <c r="G605" t="s">
        <v>36</v>
      </c>
      <c r="H605">
        <v>67571.100000000006</v>
      </c>
      <c r="I605">
        <v>9</v>
      </c>
      <c r="J605" t="s">
        <v>28</v>
      </c>
      <c r="K605" t="s">
        <v>20</v>
      </c>
      <c r="L605" t="s">
        <v>40</v>
      </c>
      <c r="M605" t="s">
        <v>31</v>
      </c>
    </row>
    <row r="606" spans="1:13" x14ac:dyDescent="0.3">
      <c r="A606" t="s">
        <v>1022</v>
      </c>
      <c r="B606" t="s">
        <v>700</v>
      </c>
      <c r="C606">
        <v>48</v>
      </c>
      <c r="D606" t="s">
        <v>34</v>
      </c>
      <c r="E606" t="s">
        <v>25</v>
      </c>
      <c r="F606" t="s">
        <v>89</v>
      </c>
      <c r="G606" t="s">
        <v>80</v>
      </c>
      <c r="H606">
        <v>33926.74</v>
      </c>
      <c r="I606">
        <v>6</v>
      </c>
      <c r="J606" t="s">
        <v>19</v>
      </c>
      <c r="K606" t="s">
        <v>39</v>
      </c>
      <c r="L606" t="s">
        <v>112</v>
      </c>
      <c r="M606" t="s">
        <v>31</v>
      </c>
    </row>
    <row r="607" spans="1:13" x14ac:dyDescent="0.3">
      <c r="A607" t="s">
        <v>1023</v>
      </c>
      <c r="B607" t="s">
        <v>1024</v>
      </c>
      <c r="C607">
        <v>18</v>
      </c>
      <c r="D607" t="s">
        <v>15</v>
      </c>
      <c r="E607" t="s">
        <v>83</v>
      </c>
      <c r="F607" t="s">
        <v>26</v>
      </c>
      <c r="G607" t="s">
        <v>80</v>
      </c>
      <c r="H607">
        <v>2061.5</v>
      </c>
      <c r="I607">
        <v>1</v>
      </c>
      <c r="J607" t="s">
        <v>28</v>
      </c>
      <c r="K607" t="s">
        <v>39</v>
      </c>
      <c r="L607" t="s">
        <v>21</v>
      </c>
      <c r="M607" t="s">
        <v>22</v>
      </c>
    </row>
    <row r="608" spans="1:13" x14ac:dyDescent="0.3">
      <c r="A608" t="s">
        <v>1025</v>
      </c>
      <c r="B608" t="s">
        <v>721</v>
      </c>
      <c r="C608">
        <v>11</v>
      </c>
      <c r="D608" t="s">
        <v>15</v>
      </c>
      <c r="E608" t="s">
        <v>83</v>
      </c>
      <c r="F608" t="s">
        <v>26</v>
      </c>
      <c r="G608" t="s">
        <v>54</v>
      </c>
      <c r="H608">
        <v>3121.75</v>
      </c>
      <c r="I608">
        <v>15</v>
      </c>
      <c r="J608" t="s">
        <v>19</v>
      </c>
      <c r="K608" t="s">
        <v>55</v>
      </c>
      <c r="L608" t="s">
        <v>45</v>
      </c>
      <c r="M608" t="s">
        <v>31</v>
      </c>
    </row>
    <row r="609" spans="1:13" x14ac:dyDescent="0.3">
      <c r="A609" t="s">
        <v>1026</v>
      </c>
      <c r="B609" t="s">
        <v>693</v>
      </c>
      <c r="C609">
        <v>47</v>
      </c>
      <c r="D609" t="s">
        <v>15</v>
      </c>
      <c r="E609" t="s">
        <v>16</v>
      </c>
      <c r="F609" t="s">
        <v>26</v>
      </c>
      <c r="G609" t="s">
        <v>54</v>
      </c>
      <c r="H609">
        <v>146649.01</v>
      </c>
      <c r="I609">
        <v>6</v>
      </c>
      <c r="J609" t="s">
        <v>28</v>
      </c>
      <c r="K609" t="s">
        <v>69</v>
      </c>
      <c r="L609" t="s">
        <v>30</v>
      </c>
      <c r="M609" t="s">
        <v>31</v>
      </c>
    </row>
    <row r="610" spans="1:13" x14ac:dyDescent="0.3">
      <c r="A610" t="s">
        <v>1027</v>
      </c>
      <c r="B610" t="s">
        <v>997</v>
      </c>
      <c r="C610">
        <v>24</v>
      </c>
      <c r="D610" t="s">
        <v>15</v>
      </c>
      <c r="E610" t="s">
        <v>35</v>
      </c>
      <c r="F610" t="s">
        <v>61</v>
      </c>
      <c r="G610" t="s">
        <v>27</v>
      </c>
      <c r="H610">
        <v>63364.62</v>
      </c>
      <c r="I610">
        <v>7</v>
      </c>
      <c r="J610" t="s">
        <v>28</v>
      </c>
      <c r="K610" t="s">
        <v>20</v>
      </c>
      <c r="L610" t="s">
        <v>45</v>
      </c>
      <c r="M610" t="s">
        <v>58</v>
      </c>
    </row>
    <row r="611" spans="1:13" x14ac:dyDescent="0.3">
      <c r="A611" t="s">
        <v>1028</v>
      </c>
      <c r="B611" t="s">
        <v>344</v>
      </c>
      <c r="C611">
        <v>15</v>
      </c>
      <c r="D611" t="s">
        <v>15</v>
      </c>
      <c r="E611" t="s">
        <v>83</v>
      </c>
      <c r="F611" t="s">
        <v>17</v>
      </c>
      <c r="G611" t="s">
        <v>36</v>
      </c>
      <c r="H611">
        <v>6964.94</v>
      </c>
      <c r="I611">
        <v>15</v>
      </c>
      <c r="J611" t="s">
        <v>19</v>
      </c>
      <c r="K611" t="s">
        <v>55</v>
      </c>
      <c r="L611" t="s">
        <v>112</v>
      </c>
      <c r="M611" t="s">
        <v>31</v>
      </c>
    </row>
    <row r="612" spans="1:13" x14ac:dyDescent="0.3">
      <c r="A612" t="s">
        <v>1029</v>
      </c>
      <c r="B612" t="s">
        <v>360</v>
      </c>
      <c r="C612">
        <v>83</v>
      </c>
      <c r="D612" t="s">
        <v>15</v>
      </c>
      <c r="E612" t="s">
        <v>25</v>
      </c>
      <c r="F612" t="s">
        <v>17</v>
      </c>
      <c r="G612" t="s">
        <v>27</v>
      </c>
      <c r="H612">
        <v>79537.45</v>
      </c>
      <c r="I612">
        <v>13</v>
      </c>
      <c r="J612" t="s">
        <v>28</v>
      </c>
      <c r="K612" t="s">
        <v>69</v>
      </c>
      <c r="L612" t="s">
        <v>51</v>
      </c>
      <c r="M612" t="s">
        <v>58</v>
      </c>
    </row>
    <row r="613" spans="1:13" x14ac:dyDescent="0.3">
      <c r="A613" t="s">
        <v>1030</v>
      </c>
      <c r="B613" t="s">
        <v>793</v>
      </c>
      <c r="C613">
        <v>79</v>
      </c>
      <c r="D613" t="s">
        <v>15</v>
      </c>
      <c r="E613" t="s">
        <v>16</v>
      </c>
      <c r="F613" t="s">
        <v>79</v>
      </c>
      <c r="G613" t="s">
        <v>27</v>
      </c>
      <c r="H613">
        <v>42714.64</v>
      </c>
      <c r="I613">
        <v>14</v>
      </c>
      <c r="J613" t="s">
        <v>28</v>
      </c>
      <c r="K613" t="s">
        <v>20</v>
      </c>
      <c r="L613" t="s">
        <v>40</v>
      </c>
      <c r="M613" t="s">
        <v>31</v>
      </c>
    </row>
    <row r="614" spans="1:13" x14ac:dyDescent="0.3">
      <c r="A614" t="s">
        <v>1031</v>
      </c>
      <c r="B614" t="s">
        <v>178</v>
      </c>
      <c r="C614">
        <v>38</v>
      </c>
      <c r="D614" t="s">
        <v>15</v>
      </c>
      <c r="E614" t="s">
        <v>25</v>
      </c>
      <c r="F614" t="s">
        <v>84</v>
      </c>
      <c r="G614" t="s">
        <v>43</v>
      </c>
      <c r="H614">
        <v>8308.0400000000009</v>
      </c>
      <c r="I614">
        <v>11</v>
      </c>
      <c r="J614" t="s">
        <v>19</v>
      </c>
      <c r="K614" t="s">
        <v>44</v>
      </c>
      <c r="L614" t="s">
        <v>21</v>
      </c>
      <c r="M614" t="s">
        <v>58</v>
      </c>
    </row>
    <row r="615" spans="1:13" x14ac:dyDescent="0.3">
      <c r="A615" t="s">
        <v>1032</v>
      </c>
      <c r="B615" t="s">
        <v>168</v>
      </c>
      <c r="C615">
        <v>72</v>
      </c>
      <c r="D615" t="s">
        <v>15</v>
      </c>
      <c r="E615" t="s">
        <v>83</v>
      </c>
      <c r="F615" t="s">
        <v>79</v>
      </c>
      <c r="G615" t="s">
        <v>54</v>
      </c>
      <c r="H615">
        <v>26441.66</v>
      </c>
      <c r="I615">
        <v>10</v>
      </c>
      <c r="J615" t="s">
        <v>28</v>
      </c>
      <c r="K615" t="s">
        <v>50</v>
      </c>
      <c r="L615" t="s">
        <v>112</v>
      </c>
      <c r="M615" t="s">
        <v>31</v>
      </c>
    </row>
    <row r="616" spans="1:13" x14ac:dyDescent="0.3">
      <c r="A616" t="s">
        <v>1033</v>
      </c>
      <c r="B616" t="s">
        <v>690</v>
      </c>
      <c r="C616">
        <v>11</v>
      </c>
      <c r="D616" t="s">
        <v>15</v>
      </c>
      <c r="E616" t="s">
        <v>16</v>
      </c>
      <c r="F616" t="s">
        <v>61</v>
      </c>
      <c r="G616" t="s">
        <v>54</v>
      </c>
      <c r="H616">
        <v>112354.12</v>
      </c>
      <c r="I616">
        <v>7</v>
      </c>
      <c r="J616" t="s">
        <v>19</v>
      </c>
      <c r="K616" t="s">
        <v>20</v>
      </c>
      <c r="L616" t="s">
        <v>30</v>
      </c>
      <c r="M616" t="s">
        <v>58</v>
      </c>
    </row>
    <row r="617" spans="1:13" x14ac:dyDescent="0.3">
      <c r="A617" t="s">
        <v>1034</v>
      </c>
      <c r="B617" t="s">
        <v>261</v>
      </c>
      <c r="C617">
        <v>29</v>
      </c>
      <c r="D617" t="s">
        <v>34</v>
      </c>
      <c r="E617" t="s">
        <v>83</v>
      </c>
      <c r="F617" t="s">
        <v>79</v>
      </c>
      <c r="G617" t="s">
        <v>43</v>
      </c>
      <c r="H617">
        <v>110957.37</v>
      </c>
      <c r="I617">
        <v>13</v>
      </c>
      <c r="J617" t="s">
        <v>19</v>
      </c>
      <c r="K617" t="s">
        <v>69</v>
      </c>
      <c r="L617" t="s">
        <v>112</v>
      </c>
      <c r="M617" t="s">
        <v>31</v>
      </c>
    </row>
    <row r="618" spans="1:13" x14ac:dyDescent="0.3">
      <c r="A618" t="s">
        <v>1035</v>
      </c>
      <c r="B618" t="s">
        <v>841</v>
      </c>
      <c r="C618">
        <v>51</v>
      </c>
      <c r="D618" t="s">
        <v>34</v>
      </c>
      <c r="E618" t="s">
        <v>25</v>
      </c>
      <c r="F618" t="s">
        <v>84</v>
      </c>
      <c r="G618" t="s">
        <v>43</v>
      </c>
      <c r="H618">
        <v>109111.2</v>
      </c>
      <c r="I618">
        <v>18</v>
      </c>
      <c r="J618" t="s">
        <v>19</v>
      </c>
      <c r="K618" t="s">
        <v>50</v>
      </c>
      <c r="L618" t="s">
        <v>30</v>
      </c>
      <c r="M618" t="s">
        <v>58</v>
      </c>
    </row>
    <row r="619" spans="1:13" x14ac:dyDescent="0.3">
      <c r="A619" t="s">
        <v>1036</v>
      </c>
      <c r="B619" t="s">
        <v>1037</v>
      </c>
      <c r="C619">
        <v>37</v>
      </c>
      <c r="D619" t="s">
        <v>34</v>
      </c>
      <c r="E619" t="s">
        <v>35</v>
      </c>
      <c r="F619" t="s">
        <v>26</v>
      </c>
      <c r="G619" t="s">
        <v>18</v>
      </c>
      <c r="H619">
        <v>18358.18</v>
      </c>
      <c r="I619">
        <v>16</v>
      </c>
      <c r="J619" t="s">
        <v>19</v>
      </c>
      <c r="K619" t="s">
        <v>44</v>
      </c>
      <c r="L619" t="s">
        <v>30</v>
      </c>
      <c r="M619" t="s">
        <v>31</v>
      </c>
    </row>
    <row r="620" spans="1:13" x14ac:dyDescent="0.3">
      <c r="A620" t="s">
        <v>1038</v>
      </c>
      <c r="B620" t="s">
        <v>190</v>
      </c>
      <c r="C620">
        <v>48</v>
      </c>
      <c r="D620" t="s">
        <v>15</v>
      </c>
      <c r="E620" t="s">
        <v>35</v>
      </c>
      <c r="F620" t="s">
        <v>17</v>
      </c>
      <c r="G620" t="s">
        <v>36</v>
      </c>
      <c r="H620">
        <v>10931.93</v>
      </c>
      <c r="I620">
        <v>2</v>
      </c>
      <c r="J620" t="s">
        <v>28</v>
      </c>
      <c r="K620" t="s">
        <v>55</v>
      </c>
      <c r="L620" t="s">
        <v>30</v>
      </c>
      <c r="M620" t="s">
        <v>31</v>
      </c>
    </row>
    <row r="621" spans="1:13" x14ac:dyDescent="0.3">
      <c r="A621" t="s">
        <v>1039</v>
      </c>
      <c r="B621" t="s">
        <v>212</v>
      </c>
      <c r="C621">
        <v>83</v>
      </c>
      <c r="D621" t="s">
        <v>34</v>
      </c>
      <c r="E621" t="s">
        <v>16</v>
      </c>
      <c r="F621" t="s">
        <v>17</v>
      </c>
      <c r="G621" t="s">
        <v>18</v>
      </c>
      <c r="H621">
        <v>43288.75</v>
      </c>
      <c r="I621">
        <v>6</v>
      </c>
      <c r="J621" t="s">
        <v>19</v>
      </c>
      <c r="K621" t="s">
        <v>50</v>
      </c>
      <c r="L621" t="s">
        <v>45</v>
      </c>
      <c r="M621" t="s">
        <v>22</v>
      </c>
    </row>
    <row r="622" spans="1:13" x14ac:dyDescent="0.3">
      <c r="A622" t="s">
        <v>1040</v>
      </c>
      <c r="B622" t="s">
        <v>1041</v>
      </c>
      <c r="C622">
        <v>87</v>
      </c>
      <c r="D622" t="s">
        <v>34</v>
      </c>
      <c r="E622" t="s">
        <v>117</v>
      </c>
      <c r="F622" t="s">
        <v>61</v>
      </c>
      <c r="G622" t="s">
        <v>54</v>
      </c>
      <c r="H622">
        <v>129852.2</v>
      </c>
      <c r="I622">
        <v>11</v>
      </c>
      <c r="J622" t="s">
        <v>19</v>
      </c>
      <c r="K622" t="s">
        <v>29</v>
      </c>
      <c r="L622" t="s">
        <v>112</v>
      </c>
      <c r="M622" t="s">
        <v>58</v>
      </c>
    </row>
    <row r="623" spans="1:13" x14ac:dyDescent="0.3">
      <c r="A623" t="s">
        <v>1042</v>
      </c>
      <c r="B623" t="s">
        <v>1043</v>
      </c>
      <c r="C623">
        <v>63</v>
      </c>
      <c r="D623" t="s">
        <v>34</v>
      </c>
      <c r="E623" t="s">
        <v>117</v>
      </c>
      <c r="F623" t="s">
        <v>89</v>
      </c>
      <c r="G623" t="s">
        <v>36</v>
      </c>
      <c r="H623">
        <v>127830.05</v>
      </c>
      <c r="I623">
        <v>4</v>
      </c>
      <c r="J623" t="s">
        <v>19</v>
      </c>
      <c r="K623" t="s">
        <v>44</v>
      </c>
      <c r="L623" t="s">
        <v>40</v>
      </c>
      <c r="M623" t="s">
        <v>31</v>
      </c>
    </row>
    <row r="624" spans="1:13" x14ac:dyDescent="0.3">
      <c r="A624" t="s">
        <v>1044</v>
      </c>
      <c r="B624" t="s">
        <v>399</v>
      </c>
      <c r="C624">
        <v>25</v>
      </c>
      <c r="D624" t="s">
        <v>34</v>
      </c>
      <c r="E624" t="s">
        <v>25</v>
      </c>
      <c r="F624" t="s">
        <v>61</v>
      </c>
      <c r="G624" t="s">
        <v>18</v>
      </c>
      <c r="H624">
        <v>69987.960000000006</v>
      </c>
      <c r="I624">
        <v>10</v>
      </c>
      <c r="J624" t="s">
        <v>28</v>
      </c>
      <c r="K624" t="s">
        <v>50</v>
      </c>
      <c r="L624" t="s">
        <v>40</v>
      </c>
      <c r="M624" t="s">
        <v>58</v>
      </c>
    </row>
    <row r="625" spans="1:13" x14ac:dyDescent="0.3">
      <c r="A625" t="s">
        <v>1045</v>
      </c>
      <c r="B625" t="s">
        <v>1046</v>
      </c>
      <c r="C625">
        <v>10</v>
      </c>
      <c r="D625" t="s">
        <v>15</v>
      </c>
      <c r="E625" t="s">
        <v>16</v>
      </c>
      <c r="F625" t="s">
        <v>89</v>
      </c>
      <c r="G625" t="s">
        <v>18</v>
      </c>
      <c r="H625">
        <v>22521.39</v>
      </c>
      <c r="I625">
        <v>4</v>
      </c>
      <c r="J625" t="s">
        <v>28</v>
      </c>
      <c r="K625" t="s">
        <v>39</v>
      </c>
      <c r="L625" t="s">
        <v>112</v>
      </c>
      <c r="M625" t="s">
        <v>22</v>
      </c>
    </row>
    <row r="626" spans="1:13" x14ac:dyDescent="0.3">
      <c r="A626" t="s">
        <v>1047</v>
      </c>
      <c r="B626" t="s">
        <v>923</v>
      </c>
      <c r="C626">
        <v>88</v>
      </c>
      <c r="D626" t="s">
        <v>34</v>
      </c>
      <c r="E626" t="s">
        <v>16</v>
      </c>
      <c r="F626" t="s">
        <v>79</v>
      </c>
      <c r="G626" t="s">
        <v>36</v>
      </c>
      <c r="H626">
        <v>91390.05</v>
      </c>
      <c r="I626">
        <v>12</v>
      </c>
      <c r="J626" t="s">
        <v>19</v>
      </c>
      <c r="K626" t="s">
        <v>55</v>
      </c>
      <c r="L626" t="s">
        <v>30</v>
      </c>
      <c r="M626" t="s">
        <v>58</v>
      </c>
    </row>
    <row r="627" spans="1:13" x14ac:dyDescent="0.3">
      <c r="A627" t="s">
        <v>1048</v>
      </c>
      <c r="B627" t="s">
        <v>550</v>
      </c>
      <c r="C627">
        <v>61</v>
      </c>
      <c r="D627" t="s">
        <v>34</v>
      </c>
      <c r="E627" t="s">
        <v>83</v>
      </c>
      <c r="F627" t="s">
        <v>89</v>
      </c>
      <c r="G627" t="s">
        <v>18</v>
      </c>
      <c r="H627">
        <v>149128.29</v>
      </c>
      <c r="I627">
        <v>16</v>
      </c>
      <c r="J627" t="s">
        <v>28</v>
      </c>
      <c r="K627" t="s">
        <v>29</v>
      </c>
      <c r="L627" t="s">
        <v>51</v>
      </c>
      <c r="M627" t="s">
        <v>31</v>
      </c>
    </row>
    <row r="628" spans="1:13" x14ac:dyDescent="0.3">
      <c r="A628" t="s">
        <v>1049</v>
      </c>
      <c r="B628" t="s">
        <v>1050</v>
      </c>
      <c r="C628">
        <v>47</v>
      </c>
      <c r="D628" t="s">
        <v>15</v>
      </c>
      <c r="E628" t="s">
        <v>117</v>
      </c>
      <c r="F628" t="s">
        <v>61</v>
      </c>
      <c r="G628" t="s">
        <v>43</v>
      </c>
      <c r="H628">
        <v>33758.089999999997</v>
      </c>
      <c r="I628">
        <v>12</v>
      </c>
      <c r="J628" t="s">
        <v>19</v>
      </c>
      <c r="K628" t="s">
        <v>55</v>
      </c>
      <c r="L628" t="s">
        <v>45</v>
      </c>
      <c r="M628" t="s">
        <v>58</v>
      </c>
    </row>
    <row r="629" spans="1:13" x14ac:dyDescent="0.3">
      <c r="A629" t="s">
        <v>1051</v>
      </c>
      <c r="B629" t="s">
        <v>1052</v>
      </c>
      <c r="C629">
        <v>64</v>
      </c>
      <c r="D629" t="s">
        <v>15</v>
      </c>
      <c r="E629" t="s">
        <v>16</v>
      </c>
      <c r="F629" t="s">
        <v>61</v>
      </c>
      <c r="G629" t="s">
        <v>54</v>
      </c>
      <c r="H629">
        <v>16923.349999999999</v>
      </c>
      <c r="I629">
        <v>16</v>
      </c>
      <c r="J629" t="s">
        <v>19</v>
      </c>
      <c r="K629" t="s">
        <v>39</v>
      </c>
      <c r="L629" t="s">
        <v>112</v>
      </c>
      <c r="M629" t="s">
        <v>31</v>
      </c>
    </row>
    <row r="630" spans="1:13" x14ac:dyDescent="0.3">
      <c r="A630" t="s">
        <v>1053</v>
      </c>
      <c r="B630" t="s">
        <v>587</v>
      </c>
      <c r="C630">
        <v>59</v>
      </c>
      <c r="D630" t="s">
        <v>34</v>
      </c>
      <c r="E630" t="s">
        <v>35</v>
      </c>
      <c r="F630" t="s">
        <v>79</v>
      </c>
      <c r="G630" t="s">
        <v>18</v>
      </c>
      <c r="H630">
        <v>134134.88</v>
      </c>
      <c r="I630">
        <v>11</v>
      </c>
      <c r="J630" t="s">
        <v>28</v>
      </c>
      <c r="K630" t="s">
        <v>20</v>
      </c>
      <c r="L630" t="s">
        <v>112</v>
      </c>
      <c r="M630" t="s">
        <v>22</v>
      </c>
    </row>
    <row r="631" spans="1:13" x14ac:dyDescent="0.3">
      <c r="A631" t="s">
        <v>1054</v>
      </c>
      <c r="B631" t="s">
        <v>570</v>
      </c>
      <c r="C631">
        <v>6</v>
      </c>
      <c r="D631" t="s">
        <v>34</v>
      </c>
      <c r="E631" t="s">
        <v>117</v>
      </c>
      <c r="F631" t="s">
        <v>79</v>
      </c>
      <c r="G631" t="s">
        <v>27</v>
      </c>
      <c r="H631">
        <v>22822.59</v>
      </c>
      <c r="I631">
        <v>15</v>
      </c>
      <c r="J631" t="s">
        <v>28</v>
      </c>
      <c r="K631" t="s">
        <v>39</v>
      </c>
      <c r="L631" t="s">
        <v>30</v>
      </c>
      <c r="M631" t="s">
        <v>58</v>
      </c>
    </row>
    <row r="632" spans="1:13" x14ac:dyDescent="0.3">
      <c r="A632" t="s">
        <v>1055</v>
      </c>
      <c r="B632" t="s">
        <v>687</v>
      </c>
      <c r="C632">
        <v>69</v>
      </c>
      <c r="D632" t="s">
        <v>15</v>
      </c>
      <c r="E632" t="s">
        <v>16</v>
      </c>
      <c r="F632" t="s">
        <v>17</v>
      </c>
      <c r="G632" t="s">
        <v>54</v>
      </c>
      <c r="H632">
        <v>106110.91</v>
      </c>
      <c r="I632">
        <v>13</v>
      </c>
      <c r="J632" t="s">
        <v>19</v>
      </c>
      <c r="K632" t="s">
        <v>29</v>
      </c>
      <c r="L632" t="s">
        <v>40</v>
      </c>
      <c r="M632" t="s">
        <v>31</v>
      </c>
    </row>
    <row r="633" spans="1:13" x14ac:dyDescent="0.3">
      <c r="A633" t="s">
        <v>1056</v>
      </c>
      <c r="B633" t="s">
        <v>1005</v>
      </c>
      <c r="C633">
        <v>15</v>
      </c>
      <c r="D633" t="s">
        <v>15</v>
      </c>
      <c r="E633" t="s">
        <v>25</v>
      </c>
      <c r="F633" t="s">
        <v>89</v>
      </c>
      <c r="G633" t="s">
        <v>80</v>
      </c>
      <c r="H633">
        <v>80462.210000000006</v>
      </c>
      <c r="I633">
        <v>3</v>
      </c>
      <c r="J633" t="s">
        <v>19</v>
      </c>
      <c r="K633" t="s">
        <v>44</v>
      </c>
      <c r="L633" t="s">
        <v>51</v>
      </c>
      <c r="M633" t="s">
        <v>31</v>
      </c>
    </row>
    <row r="634" spans="1:13" x14ac:dyDescent="0.3">
      <c r="A634" t="s">
        <v>1057</v>
      </c>
      <c r="B634" t="s">
        <v>1058</v>
      </c>
      <c r="C634">
        <v>17</v>
      </c>
      <c r="D634" t="s">
        <v>15</v>
      </c>
      <c r="E634" t="s">
        <v>117</v>
      </c>
      <c r="F634" t="s">
        <v>17</v>
      </c>
      <c r="G634" t="s">
        <v>54</v>
      </c>
      <c r="H634">
        <v>65363.55</v>
      </c>
      <c r="I634">
        <v>5</v>
      </c>
      <c r="J634" t="s">
        <v>28</v>
      </c>
      <c r="K634" t="s">
        <v>74</v>
      </c>
      <c r="L634" t="s">
        <v>51</v>
      </c>
      <c r="M634" t="s">
        <v>58</v>
      </c>
    </row>
    <row r="635" spans="1:13" x14ac:dyDescent="0.3">
      <c r="A635" t="s">
        <v>1059</v>
      </c>
      <c r="B635" t="s">
        <v>38</v>
      </c>
      <c r="C635">
        <v>65</v>
      </c>
      <c r="D635" t="s">
        <v>34</v>
      </c>
      <c r="E635" t="s">
        <v>25</v>
      </c>
      <c r="F635" t="s">
        <v>89</v>
      </c>
      <c r="G635" t="s">
        <v>54</v>
      </c>
      <c r="H635">
        <v>21558.42</v>
      </c>
      <c r="I635">
        <v>3</v>
      </c>
      <c r="J635" t="s">
        <v>28</v>
      </c>
      <c r="K635" t="s">
        <v>50</v>
      </c>
      <c r="L635" t="s">
        <v>40</v>
      </c>
      <c r="M635" t="s">
        <v>31</v>
      </c>
    </row>
    <row r="636" spans="1:13" x14ac:dyDescent="0.3">
      <c r="A636" t="s">
        <v>1060</v>
      </c>
      <c r="B636" t="s">
        <v>338</v>
      </c>
      <c r="C636">
        <v>65</v>
      </c>
      <c r="D636" t="s">
        <v>34</v>
      </c>
      <c r="E636" t="s">
        <v>16</v>
      </c>
      <c r="F636" t="s">
        <v>26</v>
      </c>
      <c r="G636" t="s">
        <v>43</v>
      </c>
      <c r="H636">
        <v>20716.349999999999</v>
      </c>
      <c r="I636">
        <v>11</v>
      </c>
      <c r="J636" t="s">
        <v>28</v>
      </c>
      <c r="K636" t="s">
        <v>20</v>
      </c>
      <c r="L636" t="s">
        <v>21</v>
      </c>
      <c r="M636" t="s">
        <v>22</v>
      </c>
    </row>
    <row r="637" spans="1:13" x14ac:dyDescent="0.3">
      <c r="A637" t="s">
        <v>1061</v>
      </c>
      <c r="B637" t="s">
        <v>49</v>
      </c>
      <c r="C637">
        <v>47</v>
      </c>
      <c r="D637" t="s">
        <v>15</v>
      </c>
      <c r="E637" t="s">
        <v>16</v>
      </c>
      <c r="F637" t="s">
        <v>26</v>
      </c>
      <c r="G637" t="s">
        <v>18</v>
      </c>
      <c r="H637">
        <v>70175.03</v>
      </c>
      <c r="I637">
        <v>18</v>
      </c>
      <c r="J637" t="s">
        <v>28</v>
      </c>
      <c r="K637" t="s">
        <v>69</v>
      </c>
      <c r="L637" t="s">
        <v>40</v>
      </c>
      <c r="M637" t="s">
        <v>58</v>
      </c>
    </row>
    <row r="638" spans="1:13" x14ac:dyDescent="0.3">
      <c r="A638" t="s">
        <v>1062</v>
      </c>
      <c r="B638" t="s">
        <v>1063</v>
      </c>
      <c r="C638">
        <v>23</v>
      </c>
      <c r="D638" t="s">
        <v>34</v>
      </c>
      <c r="E638" t="s">
        <v>83</v>
      </c>
      <c r="F638" t="s">
        <v>17</v>
      </c>
      <c r="G638" t="s">
        <v>27</v>
      </c>
      <c r="H638">
        <v>99939.61</v>
      </c>
      <c r="I638">
        <v>7</v>
      </c>
      <c r="J638" t="s">
        <v>28</v>
      </c>
      <c r="K638" t="s">
        <v>44</v>
      </c>
      <c r="L638" t="s">
        <v>30</v>
      </c>
      <c r="M638" t="s">
        <v>31</v>
      </c>
    </row>
    <row r="639" spans="1:13" x14ac:dyDescent="0.3">
      <c r="A639" t="s">
        <v>1064</v>
      </c>
      <c r="B639" t="s">
        <v>229</v>
      </c>
      <c r="C639">
        <v>17</v>
      </c>
      <c r="D639" t="s">
        <v>34</v>
      </c>
      <c r="E639" t="s">
        <v>117</v>
      </c>
      <c r="F639" t="s">
        <v>84</v>
      </c>
      <c r="G639" t="s">
        <v>43</v>
      </c>
      <c r="H639">
        <v>144806.85999999999</v>
      </c>
      <c r="I639">
        <v>10</v>
      </c>
      <c r="J639" t="s">
        <v>19</v>
      </c>
      <c r="K639" t="s">
        <v>55</v>
      </c>
      <c r="L639" t="s">
        <v>45</v>
      </c>
      <c r="M639" t="s">
        <v>22</v>
      </c>
    </row>
    <row r="640" spans="1:13" x14ac:dyDescent="0.3">
      <c r="A640" t="s">
        <v>1065</v>
      </c>
      <c r="B640" t="s">
        <v>587</v>
      </c>
      <c r="C640">
        <v>38</v>
      </c>
      <c r="D640" t="s">
        <v>15</v>
      </c>
      <c r="E640" t="s">
        <v>35</v>
      </c>
      <c r="F640" t="s">
        <v>61</v>
      </c>
      <c r="G640" t="s">
        <v>54</v>
      </c>
      <c r="H640">
        <v>107075.81</v>
      </c>
      <c r="I640">
        <v>2</v>
      </c>
      <c r="J640" t="s">
        <v>19</v>
      </c>
      <c r="K640" t="s">
        <v>55</v>
      </c>
      <c r="L640" t="s">
        <v>112</v>
      </c>
      <c r="M640" t="s">
        <v>58</v>
      </c>
    </row>
    <row r="641" spans="1:13" x14ac:dyDescent="0.3">
      <c r="A641" t="s">
        <v>1066</v>
      </c>
      <c r="B641" t="s">
        <v>653</v>
      </c>
      <c r="C641">
        <v>66</v>
      </c>
      <c r="D641" t="s">
        <v>34</v>
      </c>
      <c r="E641" t="s">
        <v>25</v>
      </c>
      <c r="F641" t="s">
        <v>61</v>
      </c>
      <c r="G641" t="s">
        <v>54</v>
      </c>
      <c r="H641">
        <v>2539.61</v>
      </c>
      <c r="I641">
        <v>9</v>
      </c>
      <c r="J641" t="s">
        <v>19</v>
      </c>
      <c r="K641" t="s">
        <v>20</v>
      </c>
      <c r="L641" t="s">
        <v>112</v>
      </c>
      <c r="M641" t="s">
        <v>58</v>
      </c>
    </row>
    <row r="642" spans="1:13" x14ac:dyDescent="0.3">
      <c r="A642" t="s">
        <v>1067</v>
      </c>
      <c r="B642" t="s">
        <v>473</v>
      </c>
      <c r="C642">
        <v>9</v>
      </c>
      <c r="D642" t="s">
        <v>34</v>
      </c>
      <c r="E642" t="s">
        <v>35</v>
      </c>
      <c r="F642" t="s">
        <v>89</v>
      </c>
      <c r="G642" t="s">
        <v>27</v>
      </c>
      <c r="H642">
        <v>83908.479999999996</v>
      </c>
      <c r="I642">
        <v>20</v>
      </c>
      <c r="J642" t="s">
        <v>28</v>
      </c>
      <c r="K642" t="s">
        <v>55</v>
      </c>
      <c r="L642" t="s">
        <v>112</v>
      </c>
      <c r="M642" t="s">
        <v>22</v>
      </c>
    </row>
    <row r="643" spans="1:13" x14ac:dyDescent="0.3">
      <c r="A643" t="s">
        <v>1068</v>
      </c>
      <c r="B643" t="s">
        <v>116</v>
      </c>
      <c r="C643">
        <v>10</v>
      </c>
      <c r="D643" t="s">
        <v>15</v>
      </c>
      <c r="E643" t="s">
        <v>117</v>
      </c>
      <c r="F643" t="s">
        <v>79</v>
      </c>
      <c r="G643" t="s">
        <v>27</v>
      </c>
      <c r="H643">
        <v>127715.3</v>
      </c>
      <c r="I643">
        <v>6</v>
      </c>
      <c r="J643" t="s">
        <v>28</v>
      </c>
      <c r="K643" t="s">
        <v>29</v>
      </c>
      <c r="L643" t="s">
        <v>30</v>
      </c>
      <c r="M643" t="s">
        <v>58</v>
      </c>
    </row>
    <row r="644" spans="1:13" x14ac:dyDescent="0.3">
      <c r="A644" t="s">
        <v>1069</v>
      </c>
      <c r="B644" t="s">
        <v>210</v>
      </c>
      <c r="C644">
        <v>78</v>
      </c>
      <c r="D644" t="s">
        <v>15</v>
      </c>
      <c r="E644" t="s">
        <v>16</v>
      </c>
      <c r="F644" t="s">
        <v>89</v>
      </c>
      <c r="G644" t="s">
        <v>43</v>
      </c>
      <c r="H644">
        <v>24230.43</v>
      </c>
      <c r="I644">
        <v>3</v>
      </c>
      <c r="J644" t="s">
        <v>28</v>
      </c>
      <c r="K644" t="s">
        <v>50</v>
      </c>
      <c r="L644" t="s">
        <v>51</v>
      </c>
      <c r="M644" t="s">
        <v>31</v>
      </c>
    </row>
    <row r="645" spans="1:13" x14ac:dyDescent="0.3">
      <c r="A645" t="s">
        <v>1070</v>
      </c>
      <c r="B645" t="s">
        <v>970</v>
      </c>
      <c r="C645">
        <v>37</v>
      </c>
      <c r="D645" t="s">
        <v>15</v>
      </c>
      <c r="E645" t="s">
        <v>83</v>
      </c>
      <c r="F645" t="s">
        <v>61</v>
      </c>
      <c r="G645" t="s">
        <v>18</v>
      </c>
      <c r="H645">
        <v>141007.78</v>
      </c>
      <c r="I645">
        <v>19</v>
      </c>
      <c r="J645" t="s">
        <v>19</v>
      </c>
      <c r="K645" t="s">
        <v>20</v>
      </c>
      <c r="L645" t="s">
        <v>112</v>
      </c>
      <c r="M645" t="s">
        <v>22</v>
      </c>
    </row>
    <row r="646" spans="1:13" x14ac:dyDescent="0.3">
      <c r="A646" t="s">
        <v>1071</v>
      </c>
      <c r="B646" t="s">
        <v>1072</v>
      </c>
      <c r="C646">
        <v>23</v>
      </c>
      <c r="D646" t="s">
        <v>34</v>
      </c>
      <c r="E646" t="s">
        <v>117</v>
      </c>
      <c r="F646" t="s">
        <v>17</v>
      </c>
      <c r="G646" t="s">
        <v>18</v>
      </c>
      <c r="H646">
        <v>33614.1</v>
      </c>
      <c r="I646">
        <v>8</v>
      </c>
      <c r="J646" t="s">
        <v>28</v>
      </c>
      <c r="K646" t="s">
        <v>44</v>
      </c>
      <c r="L646" t="s">
        <v>51</v>
      </c>
      <c r="M646" t="s">
        <v>31</v>
      </c>
    </row>
    <row r="647" spans="1:13" x14ac:dyDescent="0.3">
      <c r="A647" t="s">
        <v>1073</v>
      </c>
      <c r="B647" t="s">
        <v>633</v>
      </c>
      <c r="C647">
        <v>18</v>
      </c>
      <c r="D647" t="s">
        <v>34</v>
      </c>
      <c r="E647" t="s">
        <v>35</v>
      </c>
      <c r="F647" t="s">
        <v>89</v>
      </c>
      <c r="G647" t="s">
        <v>27</v>
      </c>
      <c r="H647">
        <v>89954.68</v>
      </c>
      <c r="I647">
        <v>12</v>
      </c>
      <c r="J647" t="s">
        <v>19</v>
      </c>
      <c r="K647" t="s">
        <v>44</v>
      </c>
      <c r="L647" t="s">
        <v>30</v>
      </c>
      <c r="M647" t="s">
        <v>22</v>
      </c>
    </row>
    <row r="648" spans="1:13" x14ac:dyDescent="0.3">
      <c r="A648" t="s">
        <v>1074</v>
      </c>
      <c r="B648" t="s">
        <v>246</v>
      </c>
      <c r="C648">
        <v>65</v>
      </c>
      <c r="D648" t="s">
        <v>15</v>
      </c>
      <c r="E648" t="s">
        <v>64</v>
      </c>
      <c r="F648" t="s">
        <v>26</v>
      </c>
      <c r="G648" t="s">
        <v>54</v>
      </c>
      <c r="H648">
        <v>85458.36</v>
      </c>
      <c r="I648">
        <v>3</v>
      </c>
      <c r="J648" t="s">
        <v>28</v>
      </c>
      <c r="K648" t="s">
        <v>55</v>
      </c>
      <c r="L648" t="s">
        <v>51</v>
      </c>
      <c r="M648" t="s">
        <v>58</v>
      </c>
    </row>
    <row r="649" spans="1:13" x14ac:dyDescent="0.3">
      <c r="A649" t="s">
        <v>1075</v>
      </c>
      <c r="B649" t="s">
        <v>1076</v>
      </c>
      <c r="C649">
        <v>11</v>
      </c>
      <c r="D649" t="s">
        <v>34</v>
      </c>
      <c r="E649" t="s">
        <v>25</v>
      </c>
      <c r="F649" t="s">
        <v>26</v>
      </c>
      <c r="G649" t="s">
        <v>54</v>
      </c>
      <c r="H649">
        <v>59011.93</v>
      </c>
      <c r="I649">
        <v>17</v>
      </c>
      <c r="J649" t="s">
        <v>28</v>
      </c>
      <c r="K649" t="s">
        <v>50</v>
      </c>
      <c r="L649" t="s">
        <v>112</v>
      </c>
      <c r="M649" t="s">
        <v>31</v>
      </c>
    </row>
    <row r="650" spans="1:13" x14ac:dyDescent="0.3">
      <c r="A650" t="s">
        <v>1077</v>
      </c>
      <c r="B650" t="s">
        <v>1078</v>
      </c>
      <c r="C650">
        <v>68</v>
      </c>
      <c r="D650" t="s">
        <v>15</v>
      </c>
      <c r="E650" t="s">
        <v>35</v>
      </c>
      <c r="F650" t="s">
        <v>61</v>
      </c>
      <c r="G650" t="s">
        <v>54</v>
      </c>
      <c r="H650">
        <v>20429.580000000002</v>
      </c>
      <c r="I650">
        <v>11</v>
      </c>
      <c r="J650" t="s">
        <v>28</v>
      </c>
      <c r="K650" t="s">
        <v>44</v>
      </c>
      <c r="L650" t="s">
        <v>40</v>
      </c>
      <c r="M650" t="s">
        <v>31</v>
      </c>
    </row>
    <row r="651" spans="1:13" x14ac:dyDescent="0.3">
      <c r="A651" t="s">
        <v>1079</v>
      </c>
      <c r="B651" t="s">
        <v>548</v>
      </c>
      <c r="C651">
        <v>29</v>
      </c>
      <c r="D651" t="s">
        <v>15</v>
      </c>
      <c r="E651" t="s">
        <v>83</v>
      </c>
      <c r="F651" t="s">
        <v>79</v>
      </c>
      <c r="G651" t="s">
        <v>36</v>
      </c>
      <c r="H651">
        <v>59712.47</v>
      </c>
      <c r="I651">
        <v>6</v>
      </c>
      <c r="J651" t="s">
        <v>28</v>
      </c>
      <c r="K651" t="s">
        <v>69</v>
      </c>
      <c r="L651" t="s">
        <v>112</v>
      </c>
      <c r="M651" t="s">
        <v>58</v>
      </c>
    </row>
    <row r="652" spans="1:13" x14ac:dyDescent="0.3">
      <c r="A652" t="s">
        <v>1080</v>
      </c>
      <c r="B652" t="s">
        <v>475</v>
      </c>
      <c r="C652">
        <v>89</v>
      </c>
      <c r="D652" t="s">
        <v>34</v>
      </c>
      <c r="E652" t="s">
        <v>25</v>
      </c>
      <c r="F652" t="s">
        <v>26</v>
      </c>
      <c r="G652" t="s">
        <v>27</v>
      </c>
      <c r="H652">
        <v>38858.449999999997</v>
      </c>
      <c r="I652">
        <v>16</v>
      </c>
      <c r="J652" t="s">
        <v>19</v>
      </c>
      <c r="K652" t="s">
        <v>74</v>
      </c>
      <c r="L652" t="s">
        <v>30</v>
      </c>
      <c r="M652" t="s">
        <v>58</v>
      </c>
    </row>
    <row r="653" spans="1:13" x14ac:dyDescent="0.3">
      <c r="A653" t="s">
        <v>1081</v>
      </c>
      <c r="B653" t="s">
        <v>522</v>
      </c>
      <c r="C653">
        <v>75</v>
      </c>
      <c r="D653" t="s">
        <v>34</v>
      </c>
      <c r="E653" t="s">
        <v>35</v>
      </c>
      <c r="F653" t="s">
        <v>61</v>
      </c>
      <c r="G653" t="s">
        <v>18</v>
      </c>
      <c r="H653">
        <v>95373.55</v>
      </c>
      <c r="I653">
        <v>15</v>
      </c>
      <c r="J653" t="s">
        <v>28</v>
      </c>
      <c r="K653" t="s">
        <v>20</v>
      </c>
      <c r="L653" t="s">
        <v>21</v>
      </c>
      <c r="M653" t="s">
        <v>22</v>
      </c>
    </row>
    <row r="654" spans="1:13" x14ac:dyDescent="0.3">
      <c r="A654" t="s">
        <v>1082</v>
      </c>
      <c r="B654" t="s">
        <v>845</v>
      </c>
      <c r="C654">
        <v>45</v>
      </c>
      <c r="D654" t="s">
        <v>15</v>
      </c>
      <c r="E654" t="s">
        <v>83</v>
      </c>
      <c r="F654" t="s">
        <v>89</v>
      </c>
      <c r="G654" t="s">
        <v>27</v>
      </c>
      <c r="H654">
        <v>26823.42</v>
      </c>
      <c r="I654">
        <v>1</v>
      </c>
      <c r="J654" t="s">
        <v>28</v>
      </c>
      <c r="K654" t="s">
        <v>55</v>
      </c>
      <c r="L654" t="s">
        <v>30</v>
      </c>
      <c r="M654" t="s">
        <v>58</v>
      </c>
    </row>
    <row r="655" spans="1:13" x14ac:dyDescent="0.3">
      <c r="A655" t="s">
        <v>1083</v>
      </c>
      <c r="B655" t="s">
        <v>423</v>
      </c>
      <c r="C655">
        <v>47</v>
      </c>
      <c r="D655" t="s">
        <v>15</v>
      </c>
      <c r="E655" t="s">
        <v>83</v>
      </c>
      <c r="F655" t="s">
        <v>61</v>
      </c>
      <c r="G655" t="s">
        <v>18</v>
      </c>
      <c r="H655">
        <v>3539.34</v>
      </c>
      <c r="I655">
        <v>11</v>
      </c>
      <c r="J655" t="s">
        <v>19</v>
      </c>
      <c r="K655" t="s">
        <v>74</v>
      </c>
      <c r="L655" t="s">
        <v>51</v>
      </c>
      <c r="M655" t="s">
        <v>31</v>
      </c>
    </row>
    <row r="656" spans="1:13" x14ac:dyDescent="0.3">
      <c r="A656" t="s">
        <v>1084</v>
      </c>
      <c r="B656" t="s">
        <v>485</v>
      </c>
      <c r="C656">
        <v>61</v>
      </c>
      <c r="D656" t="s">
        <v>34</v>
      </c>
      <c r="E656" t="s">
        <v>117</v>
      </c>
      <c r="F656" t="s">
        <v>26</v>
      </c>
      <c r="G656" t="s">
        <v>18</v>
      </c>
      <c r="H656">
        <v>142078.53</v>
      </c>
      <c r="I656">
        <v>5</v>
      </c>
      <c r="J656" t="s">
        <v>28</v>
      </c>
      <c r="K656" t="s">
        <v>55</v>
      </c>
      <c r="L656" t="s">
        <v>51</v>
      </c>
      <c r="M656" t="s">
        <v>22</v>
      </c>
    </row>
    <row r="657" spans="1:13" x14ac:dyDescent="0.3">
      <c r="A657" t="s">
        <v>1085</v>
      </c>
      <c r="B657" t="s">
        <v>105</v>
      </c>
      <c r="C657">
        <v>29</v>
      </c>
      <c r="D657" t="s">
        <v>34</v>
      </c>
      <c r="E657" t="s">
        <v>16</v>
      </c>
      <c r="F657" t="s">
        <v>17</v>
      </c>
      <c r="G657" t="s">
        <v>18</v>
      </c>
      <c r="H657">
        <v>57791.89</v>
      </c>
      <c r="I657">
        <v>5</v>
      </c>
      <c r="J657" t="s">
        <v>28</v>
      </c>
      <c r="K657" t="s">
        <v>55</v>
      </c>
      <c r="L657" t="s">
        <v>45</v>
      </c>
      <c r="M657" t="s">
        <v>31</v>
      </c>
    </row>
    <row r="658" spans="1:13" x14ac:dyDescent="0.3">
      <c r="A658" t="s">
        <v>1086</v>
      </c>
      <c r="B658" t="s">
        <v>368</v>
      </c>
      <c r="C658">
        <v>73</v>
      </c>
      <c r="D658" t="s">
        <v>15</v>
      </c>
      <c r="E658" t="s">
        <v>83</v>
      </c>
      <c r="F658" t="s">
        <v>61</v>
      </c>
      <c r="G658" t="s">
        <v>54</v>
      </c>
      <c r="H658">
        <v>49773.8</v>
      </c>
      <c r="I658">
        <v>12</v>
      </c>
      <c r="J658" t="s">
        <v>28</v>
      </c>
      <c r="K658" t="s">
        <v>29</v>
      </c>
      <c r="L658" t="s">
        <v>21</v>
      </c>
      <c r="M658" t="s">
        <v>31</v>
      </c>
    </row>
    <row r="659" spans="1:13" x14ac:dyDescent="0.3">
      <c r="A659" t="s">
        <v>1087</v>
      </c>
      <c r="B659" t="s">
        <v>244</v>
      </c>
      <c r="C659">
        <v>60</v>
      </c>
      <c r="D659" t="s">
        <v>15</v>
      </c>
      <c r="E659" t="s">
        <v>83</v>
      </c>
      <c r="F659" t="s">
        <v>17</v>
      </c>
      <c r="G659" t="s">
        <v>18</v>
      </c>
      <c r="H659">
        <v>91235</v>
      </c>
      <c r="I659">
        <v>9</v>
      </c>
      <c r="J659" t="s">
        <v>19</v>
      </c>
      <c r="K659" t="s">
        <v>55</v>
      </c>
      <c r="L659" t="s">
        <v>45</v>
      </c>
      <c r="M659" t="s">
        <v>58</v>
      </c>
    </row>
    <row r="660" spans="1:13" x14ac:dyDescent="0.3">
      <c r="A660" t="s">
        <v>1088</v>
      </c>
      <c r="B660" t="s">
        <v>1089</v>
      </c>
      <c r="C660">
        <v>66</v>
      </c>
      <c r="D660" t="s">
        <v>15</v>
      </c>
      <c r="E660" t="s">
        <v>117</v>
      </c>
      <c r="F660" t="s">
        <v>17</v>
      </c>
      <c r="G660" t="s">
        <v>54</v>
      </c>
      <c r="H660">
        <v>30036.639999999999</v>
      </c>
      <c r="I660">
        <v>6</v>
      </c>
      <c r="J660" t="s">
        <v>19</v>
      </c>
      <c r="K660" t="s">
        <v>29</v>
      </c>
      <c r="L660" t="s">
        <v>112</v>
      </c>
      <c r="M660" t="s">
        <v>31</v>
      </c>
    </row>
    <row r="661" spans="1:13" x14ac:dyDescent="0.3">
      <c r="A661" t="s">
        <v>1090</v>
      </c>
      <c r="B661" t="s">
        <v>1091</v>
      </c>
      <c r="C661">
        <v>49</v>
      </c>
      <c r="D661" t="s">
        <v>15</v>
      </c>
      <c r="E661" t="s">
        <v>64</v>
      </c>
      <c r="F661" t="s">
        <v>89</v>
      </c>
      <c r="G661" t="s">
        <v>18</v>
      </c>
      <c r="H661">
        <v>29898.85</v>
      </c>
      <c r="I661">
        <v>13</v>
      </c>
      <c r="J661" t="s">
        <v>28</v>
      </c>
      <c r="K661" t="s">
        <v>39</v>
      </c>
      <c r="L661" t="s">
        <v>40</v>
      </c>
      <c r="M661" t="s">
        <v>22</v>
      </c>
    </row>
    <row r="662" spans="1:13" x14ac:dyDescent="0.3">
      <c r="A662" t="s">
        <v>1092</v>
      </c>
      <c r="B662" t="s">
        <v>911</v>
      </c>
      <c r="C662">
        <v>65</v>
      </c>
      <c r="D662" t="s">
        <v>34</v>
      </c>
      <c r="E662" t="s">
        <v>16</v>
      </c>
      <c r="F662" t="s">
        <v>17</v>
      </c>
      <c r="G662" t="s">
        <v>43</v>
      </c>
      <c r="H662">
        <v>91529.58</v>
      </c>
      <c r="I662">
        <v>10</v>
      </c>
      <c r="J662" t="s">
        <v>19</v>
      </c>
      <c r="K662" t="s">
        <v>29</v>
      </c>
      <c r="L662" t="s">
        <v>30</v>
      </c>
      <c r="M662" t="s">
        <v>31</v>
      </c>
    </row>
    <row r="663" spans="1:13" x14ac:dyDescent="0.3">
      <c r="A663" t="s">
        <v>1093</v>
      </c>
      <c r="B663" t="s">
        <v>495</v>
      </c>
      <c r="C663">
        <v>32</v>
      </c>
      <c r="D663" t="s">
        <v>34</v>
      </c>
      <c r="E663" t="s">
        <v>25</v>
      </c>
      <c r="F663" t="s">
        <v>17</v>
      </c>
      <c r="G663" t="s">
        <v>36</v>
      </c>
      <c r="H663">
        <v>61926.3</v>
      </c>
      <c r="I663">
        <v>16</v>
      </c>
      <c r="J663" t="s">
        <v>28</v>
      </c>
      <c r="K663" t="s">
        <v>74</v>
      </c>
      <c r="L663" t="s">
        <v>21</v>
      </c>
      <c r="M663" t="s">
        <v>22</v>
      </c>
    </row>
    <row r="664" spans="1:13" x14ac:dyDescent="0.3">
      <c r="A664" t="s">
        <v>1094</v>
      </c>
      <c r="B664" t="s">
        <v>729</v>
      </c>
      <c r="C664">
        <v>89</v>
      </c>
      <c r="D664" t="s">
        <v>15</v>
      </c>
      <c r="E664" t="s">
        <v>117</v>
      </c>
      <c r="F664" t="s">
        <v>17</v>
      </c>
      <c r="G664" t="s">
        <v>27</v>
      </c>
      <c r="H664">
        <v>66322.240000000005</v>
      </c>
      <c r="I664">
        <v>7</v>
      </c>
      <c r="J664" t="s">
        <v>19</v>
      </c>
      <c r="K664" t="s">
        <v>55</v>
      </c>
      <c r="L664" t="s">
        <v>112</v>
      </c>
      <c r="M664" t="s">
        <v>58</v>
      </c>
    </row>
    <row r="665" spans="1:13" x14ac:dyDescent="0.3">
      <c r="A665" t="s">
        <v>1095</v>
      </c>
      <c r="B665" t="s">
        <v>399</v>
      </c>
      <c r="C665">
        <v>57</v>
      </c>
      <c r="D665" t="s">
        <v>34</v>
      </c>
      <c r="E665" t="s">
        <v>25</v>
      </c>
      <c r="F665" t="s">
        <v>84</v>
      </c>
      <c r="G665" t="s">
        <v>43</v>
      </c>
      <c r="H665">
        <v>84484.54</v>
      </c>
      <c r="I665">
        <v>6</v>
      </c>
      <c r="J665" t="s">
        <v>19</v>
      </c>
      <c r="K665" t="s">
        <v>39</v>
      </c>
      <c r="L665" t="s">
        <v>45</v>
      </c>
      <c r="M665" t="s">
        <v>58</v>
      </c>
    </row>
    <row r="666" spans="1:13" x14ac:dyDescent="0.3">
      <c r="A666" t="s">
        <v>1096</v>
      </c>
      <c r="B666" t="s">
        <v>787</v>
      </c>
      <c r="C666">
        <v>62</v>
      </c>
      <c r="D666" t="s">
        <v>15</v>
      </c>
      <c r="E666" t="s">
        <v>64</v>
      </c>
      <c r="F666" t="s">
        <v>84</v>
      </c>
      <c r="G666" t="s">
        <v>18</v>
      </c>
      <c r="H666">
        <v>111453.32</v>
      </c>
      <c r="I666">
        <v>10</v>
      </c>
      <c r="J666" t="s">
        <v>19</v>
      </c>
      <c r="K666" t="s">
        <v>55</v>
      </c>
      <c r="L666" t="s">
        <v>51</v>
      </c>
      <c r="M666" t="s">
        <v>58</v>
      </c>
    </row>
    <row r="667" spans="1:13" x14ac:dyDescent="0.3">
      <c r="A667" t="s">
        <v>1097</v>
      </c>
      <c r="B667" t="s">
        <v>1098</v>
      </c>
      <c r="C667">
        <v>65</v>
      </c>
      <c r="D667" t="s">
        <v>15</v>
      </c>
      <c r="E667" t="s">
        <v>16</v>
      </c>
      <c r="F667" t="s">
        <v>26</v>
      </c>
      <c r="G667" t="s">
        <v>80</v>
      </c>
      <c r="H667">
        <v>39945.75</v>
      </c>
      <c r="I667">
        <v>7</v>
      </c>
      <c r="J667" t="s">
        <v>19</v>
      </c>
      <c r="K667" t="s">
        <v>74</v>
      </c>
      <c r="L667" t="s">
        <v>45</v>
      </c>
      <c r="M667" t="s">
        <v>58</v>
      </c>
    </row>
    <row r="668" spans="1:13" x14ac:dyDescent="0.3">
      <c r="A668" t="s">
        <v>1099</v>
      </c>
      <c r="B668" t="s">
        <v>1100</v>
      </c>
      <c r="C668">
        <v>83</v>
      </c>
      <c r="D668" t="s">
        <v>15</v>
      </c>
      <c r="E668" t="s">
        <v>64</v>
      </c>
      <c r="F668" t="s">
        <v>79</v>
      </c>
      <c r="G668" t="s">
        <v>18</v>
      </c>
      <c r="H668">
        <v>68893.14</v>
      </c>
      <c r="I668">
        <v>18</v>
      </c>
      <c r="J668" t="s">
        <v>28</v>
      </c>
      <c r="K668" t="s">
        <v>55</v>
      </c>
      <c r="L668" t="s">
        <v>45</v>
      </c>
      <c r="M668" t="s">
        <v>22</v>
      </c>
    </row>
    <row r="669" spans="1:13" x14ac:dyDescent="0.3">
      <c r="A669" t="s">
        <v>1101</v>
      </c>
      <c r="B669" t="s">
        <v>913</v>
      </c>
      <c r="C669">
        <v>69</v>
      </c>
      <c r="D669" t="s">
        <v>15</v>
      </c>
      <c r="E669" t="s">
        <v>35</v>
      </c>
      <c r="F669" t="s">
        <v>84</v>
      </c>
      <c r="G669" t="s">
        <v>27</v>
      </c>
      <c r="H669">
        <v>75731.149999999994</v>
      </c>
      <c r="I669">
        <v>9</v>
      </c>
      <c r="J669" t="s">
        <v>28</v>
      </c>
      <c r="K669" t="s">
        <v>55</v>
      </c>
      <c r="L669" t="s">
        <v>51</v>
      </c>
      <c r="M669" t="s">
        <v>58</v>
      </c>
    </row>
    <row r="670" spans="1:13" x14ac:dyDescent="0.3">
      <c r="A670" t="s">
        <v>1102</v>
      </c>
      <c r="B670" t="s">
        <v>940</v>
      </c>
      <c r="C670">
        <v>80</v>
      </c>
      <c r="D670" t="s">
        <v>15</v>
      </c>
      <c r="E670" t="s">
        <v>35</v>
      </c>
      <c r="F670" t="s">
        <v>79</v>
      </c>
      <c r="G670" t="s">
        <v>43</v>
      </c>
      <c r="H670">
        <v>78187.460000000006</v>
      </c>
      <c r="I670">
        <v>20</v>
      </c>
      <c r="J670" t="s">
        <v>19</v>
      </c>
      <c r="K670" t="s">
        <v>39</v>
      </c>
      <c r="L670" t="s">
        <v>45</v>
      </c>
      <c r="M670" t="s">
        <v>22</v>
      </c>
    </row>
    <row r="671" spans="1:13" x14ac:dyDescent="0.3">
      <c r="A671" t="s">
        <v>1103</v>
      </c>
      <c r="B671" t="s">
        <v>1104</v>
      </c>
      <c r="C671">
        <v>46</v>
      </c>
      <c r="D671" t="s">
        <v>15</v>
      </c>
      <c r="E671" t="s">
        <v>25</v>
      </c>
      <c r="F671" t="s">
        <v>84</v>
      </c>
      <c r="G671" t="s">
        <v>36</v>
      </c>
      <c r="H671">
        <v>110307.06</v>
      </c>
      <c r="I671">
        <v>14</v>
      </c>
      <c r="J671" t="s">
        <v>19</v>
      </c>
      <c r="K671" t="s">
        <v>39</v>
      </c>
      <c r="L671" t="s">
        <v>40</v>
      </c>
      <c r="M671" t="s">
        <v>22</v>
      </c>
    </row>
    <row r="672" spans="1:13" x14ac:dyDescent="0.3">
      <c r="A672" t="s">
        <v>1105</v>
      </c>
      <c r="B672" t="s">
        <v>981</v>
      </c>
      <c r="C672">
        <v>1</v>
      </c>
      <c r="D672" t="s">
        <v>34</v>
      </c>
      <c r="E672" t="s">
        <v>117</v>
      </c>
      <c r="F672" t="s">
        <v>79</v>
      </c>
      <c r="G672" t="s">
        <v>43</v>
      </c>
      <c r="H672">
        <v>41728.199999999997</v>
      </c>
      <c r="I672">
        <v>18</v>
      </c>
      <c r="J672" t="s">
        <v>28</v>
      </c>
      <c r="K672" t="s">
        <v>55</v>
      </c>
      <c r="L672" t="s">
        <v>51</v>
      </c>
      <c r="M672" t="s">
        <v>22</v>
      </c>
    </row>
    <row r="673" spans="1:13" x14ac:dyDescent="0.3">
      <c r="A673" t="s">
        <v>1106</v>
      </c>
      <c r="B673" t="s">
        <v>1104</v>
      </c>
      <c r="C673">
        <v>88</v>
      </c>
      <c r="D673" t="s">
        <v>15</v>
      </c>
      <c r="E673" t="s">
        <v>35</v>
      </c>
      <c r="F673" t="s">
        <v>79</v>
      </c>
      <c r="G673" t="s">
        <v>80</v>
      </c>
      <c r="H673">
        <v>104635.02</v>
      </c>
      <c r="I673">
        <v>14</v>
      </c>
      <c r="J673" t="s">
        <v>19</v>
      </c>
      <c r="K673" t="s">
        <v>69</v>
      </c>
      <c r="L673" t="s">
        <v>45</v>
      </c>
      <c r="M673" t="s">
        <v>58</v>
      </c>
    </row>
    <row r="674" spans="1:13" x14ac:dyDescent="0.3">
      <c r="A674" t="s">
        <v>1107</v>
      </c>
      <c r="B674" t="s">
        <v>1008</v>
      </c>
      <c r="C674">
        <v>75</v>
      </c>
      <c r="D674" t="s">
        <v>15</v>
      </c>
      <c r="E674" t="s">
        <v>117</v>
      </c>
      <c r="F674" t="s">
        <v>79</v>
      </c>
      <c r="G674" t="s">
        <v>43</v>
      </c>
      <c r="H674">
        <v>130888.45</v>
      </c>
      <c r="I674">
        <v>18</v>
      </c>
      <c r="J674" t="s">
        <v>28</v>
      </c>
      <c r="K674" t="s">
        <v>20</v>
      </c>
      <c r="L674" t="s">
        <v>21</v>
      </c>
      <c r="M674" t="s">
        <v>22</v>
      </c>
    </row>
    <row r="675" spans="1:13" x14ac:dyDescent="0.3">
      <c r="A675" t="s">
        <v>1108</v>
      </c>
      <c r="B675" t="s">
        <v>385</v>
      </c>
      <c r="C675">
        <v>64</v>
      </c>
      <c r="D675" t="s">
        <v>34</v>
      </c>
      <c r="E675" t="s">
        <v>35</v>
      </c>
      <c r="F675" t="s">
        <v>26</v>
      </c>
      <c r="G675" t="s">
        <v>43</v>
      </c>
      <c r="H675">
        <v>9036.23</v>
      </c>
      <c r="I675">
        <v>16</v>
      </c>
      <c r="J675" t="s">
        <v>28</v>
      </c>
      <c r="K675" t="s">
        <v>55</v>
      </c>
      <c r="L675" t="s">
        <v>30</v>
      </c>
      <c r="M675" t="s">
        <v>58</v>
      </c>
    </row>
    <row r="676" spans="1:13" x14ac:dyDescent="0.3">
      <c r="A676" t="s">
        <v>1109</v>
      </c>
      <c r="B676" t="s">
        <v>1110</v>
      </c>
      <c r="C676">
        <v>64</v>
      </c>
      <c r="D676" t="s">
        <v>34</v>
      </c>
      <c r="E676" t="s">
        <v>25</v>
      </c>
      <c r="F676" t="s">
        <v>89</v>
      </c>
      <c r="G676" t="s">
        <v>54</v>
      </c>
      <c r="H676">
        <v>76863.59</v>
      </c>
      <c r="I676">
        <v>11</v>
      </c>
      <c r="J676" t="s">
        <v>28</v>
      </c>
      <c r="K676" t="s">
        <v>29</v>
      </c>
      <c r="L676" t="s">
        <v>51</v>
      </c>
      <c r="M676" t="s">
        <v>58</v>
      </c>
    </row>
    <row r="677" spans="1:13" x14ac:dyDescent="0.3">
      <c r="A677" t="s">
        <v>1111</v>
      </c>
      <c r="B677" t="s">
        <v>1112</v>
      </c>
      <c r="C677">
        <v>38</v>
      </c>
      <c r="D677" t="s">
        <v>34</v>
      </c>
      <c r="E677" t="s">
        <v>25</v>
      </c>
      <c r="F677" t="s">
        <v>61</v>
      </c>
      <c r="G677" t="s">
        <v>80</v>
      </c>
      <c r="H677">
        <v>6999.37</v>
      </c>
      <c r="I677">
        <v>5</v>
      </c>
      <c r="J677" t="s">
        <v>28</v>
      </c>
      <c r="K677" t="s">
        <v>39</v>
      </c>
      <c r="L677" t="s">
        <v>21</v>
      </c>
      <c r="M677" t="s">
        <v>31</v>
      </c>
    </row>
    <row r="678" spans="1:13" x14ac:dyDescent="0.3">
      <c r="A678" t="s">
        <v>1113</v>
      </c>
      <c r="B678" t="s">
        <v>1114</v>
      </c>
      <c r="C678">
        <v>70</v>
      </c>
      <c r="D678" t="s">
        <v>34</v>
      </c>
      <c r="E678" t="s">
        <v>16</v>
      </c>
      <c r="F678" t="s">
        <v>17</v>
      </c>
      <c r="G678" t="s">
        <v>18</v>
      </c>
      <c r="H678">
        <v>14489.12</v>
      </c>
      <c r="I678">
        <v>20</v>
      </c>
      <c r="J678" t="s">
        <v>28</v>
      </c>
      <c r="K678" t="s">
        <v>20</v>
      </c>
      <c r="L678" t="s">
        <v>30</v>
      </c>
      <c r="M678" t="s">
        <v>58</v>
      </c>
    </row>
    <row r="679" spans="1:13" x14ac:dyDescent="0.3">
      <c r="A679" t="s">
        <v>1115</v>
      </c>
      <c r="B679" t="s">
        <v>1116</v>
      </c>
      <c r="C679">
        <v>63</v>
      </c>
      <c r="D679" t="s">
        <v>34</v>
      </c>
      <c r="E679" t="s">
        <v>25</v>
      </c>
      <c r="F679" t="s">
        <v>17</v>
      </c>
      <c r="G679" t="s">
        <v>43</v>
      </c>
      <c r="H679">
        <v>18400.419999999998</v>
      </c>
      <c r="I679">
        <v>15</v>
      </c>
      <c r="J679" t="s">
        <v>28</v>
      </c>
      <c r="K679" t="s">
        <v>55</v>
      </c>
      <c r="L679" t="s">
        <v>51</v>
      </c>
      <c r="M679" t="s">
        <v>22</v>
      </c>
    </row>
    <row r="680" spans="1:13" x14ac:dyDescent="0.3">
      <c r="A680" t="s">
        <v>1117</v>
      </c>
      <c r="B680" t="s">
        <v>1118</v>
      </c>
      <c r="C680">
        <v>35</v>
      </c>
      <c r="D680" t="s">
        <v>34</v>
      </c>
      <c r="E680" t="s">
        <v>117</v>
      </c>
      <c r="F680" t="s">
        <v>79</v>
      </c>
      <c r="G680" t="s">
        <v>27</v>
      </c>
      <c r="H680">
        <v>50638.400000000001</v>
      </c>
      <c r="I680">
        <v>14</v>
      </c>
      <c r="J680" t="s">
        <v>19</v>
      </c>
      <c r="K680" t="s">
        <v>69</v>
      </c>
      <c r="L680" t="s">
        <v>30</v>
      </c>
      <c r="M680" t="s">
        <v>22</v>
      </c>
    </row>
    <row r="681" spans="1:13" x14ac:dyDescent="0.3">
      <c r="A681" t="s">
        <v>1119</v>
      </c>
      <c r="B681" t="s">
        <v>141</v>
      </c>
      <c r="C681">
        <v>37</v>
      </c>
      <c r="D681" t="s">
        <v>15</v>
      </c>
      <c r="E681" t="s">
        <v>83</v>
      </c>
      <c r="F681" t="s">
        <v>17</v>
      </c>
      <c r="G681" t="s">
        <v>27</v>
      </c>
      <c r="H681">
        <v>117096.35</v>
      </c>
      <c r="I681">
        <v>1</v>
      </c>
      <c r="J681" t="s">
        <v>28</v>
      </c>
      <c r="K681" t="s">
        <v>74</v>
      </c>
      <c r="L681" t="s">
        <v>40</v>
      </c>
      <c r="M681" t="s">
        <v>22</v>
      </c>
    </row>
    <row r="682" spans="1:13" x14ac:dyDescent="0.3">
      <c r="A682" t="s">
        <v>1120</v>
      </c>
      <c r="B682" t="s">
        <v>198</v>
      </c>
      <c r="C682">
        <v>39</v>
      </c>
      <c r="D682" t="s">
        <v>34</v>
      </c>
      <c r="E682" t="s">
        <v>117</v>
      </c>
      <c r="F682" t="s">
        <v>61</v>
      </c>
      <c r="G682" t="s">
        <v>27</v>
      </c>
      <c r="H682">
        <v>11716.53</v>
      </c>
      <c r="I682">
        <v>10</v>
      </c>
      <c r="J682" t="s">
        <v>28</v>
      </c>
      <c r="K682" t="s">
        <v>69</v>
      </c>
      <c r="L682" t="s">
        <v>112</v>
      </c>
      <c r="M682" t="s">
        <v>58</v>
      </c>
    </row>
    <row r="683" spans="1:13" x14ac:dyDescent="0.3">
      <c r="A683" t="s">
        <v>1121</v>
      </c>
      <c r="B683" t="s">
        <v>685</v>
      </c>
      <c r="C683">
        <v>65</v>
      </c>
      <c r="D683" t="s">
        <v>34</v>
      </c>
      <c r="E683" t="s">
        <v>25</v>
      </c>
      <c r="F683" t="s">
        <v>61</v>
      </c>
      <c r="G683" t="s">
        <v>27</v>
      </c>
      <c r="H683">
        <v>18885.96</v>
      </c>
      <c r="I683">
        <v>12</v>
      </c>
      <c r="J683" t="s">
        <v>19</v>
      </c>
      <c r="K683" t="s">
        <v>50</v>
      </c>
      <c r="L683" t="s">
        <v>21</v>
      </c>
      <c r="M683" t="s">
        <v>31</v>
      </c>
    </row>
    <row r="684" spans="1:13" x14ac:dyDescent="0.3">
      <c r="A684" t="s">
        <v>1122</v>
      </c>
      <c r="B684" t="s">
        <v>989</v>
      </c>
      <c r="C684">
        <v>17</v>
      </c>
      <c r="D684" t="s">
        <v>34</v>
      </c>
      <c r="E684" t="s">
        <v>83</v>
      </c>
      <c r="F684" t="s">
        <v>17</v>
      </c>
      <c r="G684" t="s">
        <v>27</v>
      </c>
      <c r="H684">
        <v>132671.94</v>
      </c>
      <c r="I684">
        <v>16</v>
      </c>
      <c r="J684" t="s">
        <v>19</v>
      </c>
      <c r="K684" t="s">
        <v>39</v>
      </c>
      <c r="L684" t="s">
        <v>45</v>
      </c>
      <c r="M684" t="s">
        <v>31</v>
      </c>
    </row>
    <row r="685" spans="1:13" x14ac:dyDescent="0.3">
      <c r="A685" t="s">
        <v>1123</v>
      </c>
      <c r="B685" t="s">
        <v>133</v>
      </c>
      <c r="C685">
        <v>76</v>
      </c>
      <c r="D685" t="s">
        <v>15</v>
      </c>
      <c r="E685" t="s">
        <v>83</v>
      </c>
      <c r="F685" t="s">
        <v>17</v>
      </c>
      <c r="G685" t="s">
        <v>18</v>
      </c>
      <c r="H685">
        <v>146988.04999999999</v>
      </c>
      <c r="I685">
        <v>5</v>
      </c>
      <c r="J685" t="s">
        <v>19</v>
      </c>
      <c r="K685" t="s">
        <v>29</v>
      </c>
      <c r="L685" t="s">
        <v>51</v>
      </c>
      <c r="M685" t="s">
        <v>31</v>
      </c>
    </row>
    <row r="686" spans="1:13" x14ac:dyDescent="0.3">
      <c r="A686" t="s">
        <v>1124</v>
      </c>
      <c r="B686" t="s">
        <v>896</v>
      </c>
      <c r="C686">
        <v>42</v>
      </c>
      <c r="D686" t="s">
        <v>15</v>
      </c>
      <c r="E686" t="s">
        <v>25</v>
      </c>
      <c r="F686" t="s">
        <v>89</v>
      </c>
      <c r="G686" t="s">
        <v>27</v>
      </c>
      <c r="H686">
        <v>148974.76999999999</v>
      </c>
      <c r="I686">
        <v>18</v>
      </c>
      <c r="J686" t="s">
        <v>28</v>
      </c>
      <c r="K686" t="s">
        <v>20</v>
      </c>
      <c r="L686" t="s">
        <v>112</v>
      </c>
      <c r="M686" t="s">
        <v>31</v>
      </c>
    </row>
    <row r="687" spans="1:13" x14ac:dyDescent="0.3">
      <c r="A687" t="s">
        <v>1125</v>
      </c>
      <c r="B687" t="s">
        <v>544</v>
      </c>
      <c r="C687">
        <v>10</v>
      </c>
      <c r="D687" t="s">
        <v>34</v>
      </c>
      <c r="E687" t="s">
        <v>16</v>
      </c>
      <c r="F687" t="s">
        <v>84</v>
      </c>
      <c r="G687" t="s">
        <v>80</v>
      </c>
      <c r="H687">
        <v>65727.100000000006</v>
      </c>
      <c r="I687">
        <v>8</v>
      </c>
      <c r="J687" t="s">
        <v>28</v>
      </c>
      <c r="K687" t="s">
        <v>69</v>
      </c>
      <c r="L687" t="s">
        <v>112</v>
      </c>
      <c r="M687" t="s">
        <v>58</v>
      </c>
    </row>
    <row r="688" spans="1:13" x14ac:dyDescent="0.3">
      <c r="A688" t="s">
        <v>1126</v>
      </c>
      <c r="B688" t="s">
        <v>1127</v>
      </c>
      <c r="C688">
        <v>57</v>
      </c>
      <c r="D688" t="s">
        <v>15</v>
      </c>
      <c r="E688" t="s">
        <v>35</v>
      </c>
      <c r="F688" t="s">
        <v>89</v>
      </c>
      <c r="G688" t="s">
        <v>80</v>
      </c>
      <c r="H688">
        <v>46803.38</v>
      </c>
      <c r="I688">
        <v>17</v>
      </c>
      <c r="J688" t="s">
        <v>28</v>
      </c>
      <c r="K688" t="s">
        <v>74</v>
      </c>
      <c r="L688" t="s">
        <v>40</v>
      </c>
      <c r="M688" t="s">
        <v>22</v>
      </c>
    </row>
    <row r="689" spans="1:13" x14ac:dyDescent="0.3">
      <c r="A689" t="s">
        <v>1128</v>
      </c>
      <c r="B689" t="s">
        <v>1129</v>
      </c>
      <c r="C689">
        <v>49</v>
      </c>
      <c r="D689" t="s">
        <v>34</v>
      </c>
      <c r="E689" t="s">
        <v>35</v>
      </c>
      <c r="F689" t="s">
        <v>17</v>
      </c>
      <c r="G689" t="s">
        <v>36</v>
      </c>
      <c r="H689">
        <v>31950.39</v>
      </c>
      <c r="I689">
        <v>11</v>
      </c>
      <c r="J689" t="s">
        <v>28</v>
      </c>
      <c r="K689" t="s">
        <v>50</v>
      </c>
      <c r="L689" t="s">
        <v>51</v>
      </c>
      <c r="M689" t="s">
        <v>58</v>
      </c>
    </row>
    <row r="690" spans="1:13" x14ac:dyDescent="0.3">
      <c r="A690" t="s">
        <v>1130</v>
      </c>
      <c r="B690" t="s">
        <v>1131</v>
      </c>
      <c r="C690">
        <v>65</v>
      </c>
      <c r="D690" t="s">
        <v>34</v>
      </c>
      <c r="E690" t="s">
        <v>16</v>
      </c>
      <c r="F690" t="s">
        <v>61</v>
      </c>
      <c r="G690" t="s">
        <v>27</v>
      </c>
      <c r="H690">
        <v>123071.47</v>
      </c>
      <c r="I690">
        <v>5</v>
      </c>
      <c r="J690" t="s">
        <v>19</v>
      </c>
      <c r="K690" t="s">
        <v>29</v>
      </c>
      <c r="L690" t="s">
        <v>51</v>
      </c>
      <c r="M690" t="s">
        <v>58</v>
      </c>
    </row>
    <row r="691" spans="1:13" x14ac:dyDescent="0.3">
      <c r="A691" t="s">
        <v>1132</v>
      </c>
      <c r="B691" t="s">
        <v>1133</v>
      </c>
      <c r="C691">
        <v>16</v>
      </c>
      <c r="D691" t="s">
        <v>34</v>
      </c>
      <c r="E691" t="s">
        <v>83</v>
      </c>
      <c r="F691" t="s">
        <v>79</v>
      </c>
      <c r="G691" t="s">
        <v>27</v>
      </c>
      <c r="H691">
        <v>116815.29</v>
      </c>
      <c r="I691">
        <v>12</v>
      </c>
      <c r="J691" t="s">
        <v>19</v>
      </c>
      <c r="K691" t="s">
        <v>55</v>
      </c>
      <c r="L691" t="s">
        <v>45</v>
      </c>
      <c r="M691" t="s">
        <v>31</v>
      </c>
    </row>
    <row r="692" spans="1:13" x14ac:dyDescent="0.3">
      <c r="A692" t="s">
        <v>1134</v>
      </c>
      <c r="B692" t="s">
        <v>562</v>
      </c>
      <c r="C692">
        <v>43</v>
      </c>
      <c r="D692" t="s">
        <v>34</v>
      </c>
      <c r="E692" t="s">
        <v>25</v>
      </c>
      <c r="F692" t="s">
        <v>17</v>
      </c>
      <c r="G692" t="s">
        <v>36</v>
      </c>
      <c r="H692">
        <v>141229.94</v>
      </c>
      <c r="I692">
        <v>18</v>
      </c>
      <c r="J692" t="s">
        <v>19</v>
      </c>
      <c r="K692" t="s">
        <v>29</v>
      </c>
      <c r="L692" t="s">
        <v>45</v>
      </c>
      <c r="M692" t="s">
        <v>31</v>
      </c>
    </row>
    <row r="693" spans="1:13" x14ac:dyDescent="0.3">
      <c r="A693" t="s">
        <v>1135</v>
      </c>
      <c r="B693" t="s">
        <v>182</v>
      </c>
      <c r="C693">
        <v>12</v>
      </c>
      <c r="D693" t="s">
        <v>34</v>
      </c>
      <c r="E693" t="s">
        <v>25</v>
      </c>
      <c r="F693" t="s">
        <v>61</v>
      </c>
      <c r="G693" t="s">
        <v>27</v>
      </c>
      <c r="H693">
        <v>101914.57</v>
      </c>
      <c r="I693">
        <v>1</v>
      </c>
      <c r="J693" t="s">
        <v>28</v>
      </c>
      <c r="K693" t="s">
        <v>39</v>
      </c>
      <c r="L693" t="s">
        <v>40</v>
      </c>
      <c r="M693" t="s">
        <v>58</v>
      </c>
    </row>
    <row r="694" spans="1:13" x14ac:dyDescent="0.3">
      <c r="A694" t="s">
        <v>1136</v>
      </c>
      <c r="B694" t="s">
        <v>459</v>
      </c>
      <c r="C694">
        <v>23</v>
      </c>
      <c r="D694" t="s">
        <v>15</v>
      </c>
      <c r="E694" t="s">
        <v>35</v>
      </c>
      <c r="F694" t="s">
        <v>84</v>
      </c>
      <c r="G694" t="s">
        <v>36</v>
      </c>
      <c r="H694">
        <v>29896.46</v>
      </c>
      <c r="I694">
        <v>16</v>
      </c>
      <c r="J694" t="s">
        <v>28</v>
      </c>
      <c r="K694" t="s">
        <v>55</v>
      </c>
      <c r="L694" t="s">
        <v>21</v>
      </c>
      <c r="M694" t="s">
        <v>31</v>
      </c>
    </row>
    <row r="695" spans="1:13" x14ac:dyDescent="0.3">
      <c r="A695" t="s">
        <v>1137</v>
      </c>
      <c r="B695" t="s">
        <v>192</v>
      </c>
      <c r="C695">
        <v>26</v>
      </c>
      <c r="D695" t="s">
        <v>15</v>
      </c>
      <c r="E695" t="s">
        <v>16</v>
      </c>
      <c r="F695" t="s">
        <v>17</v>
      </c>
      <c r="G695" t="s">
        <v>27</v>
      </c>
      <c r="H695">
        <v>109732.76</v>
      </c>
      <c r="I695">
        <v>3</v>
      </c>
      <c r="J695" t="s">
        <v>19</v>
      </c>
      <c r="K695" t="s">
        <v>74</v>
      </c>
      <c r="L695" t="s">
        <v>21</v>
      </c>
      <c r="M695" t="s">
        <v>22</v>
      </c>
    </row>
    <row r="696" spans="1:13" x14ac:dyDescent="0.3">
      <c r="A696" t="s">
        <v>1138</v>
      </c>
      <c r="B696" t="s">
        <v>1139</v>
      </c>
      <c r="C696">
        <v>84</v>
      </c>
      <c r="D696" t="s">
        <v>15</v>
      </c>
      <c r="E696" t="s">
        <v>117</v>
      </c>
      <c r="F696" t="s">
        <v>26</v>
      </c>
      <c r="G696" t="s">
        <v>36</v>
      </c>
      <c r="H696">
        <v>89477.759999999995</v>
      </c>
      <c r="I696">
        <v>18</v>
      </c>
      <c r="J696" t="s">
        <v>19</v>
      </c>
      <c r="K696" t="s">
        <v>44</v>
      </c>
      <c r="L696" t="s">
        <v>45</v>
      </c>
      <c r="M696" t="s">
        <v>58</v>
      </c>
    </row>
    <row r="697" spans="1:13" x14ac:dyDescent="0.3">
      <c r="A697" t="s">
        <v>1140</v>
      </c>
      <c r="B697" t="s">
        <v>1141</v>
      </c>
      <c r="C697">
        <v>82</v>
      </c>
      <c r="D697" t="s">
        <v>34</v>
      </c>
      <c r="E697" t="s">
        <v>64</v>
      </c>
      <c r="F697" t="s">
        <v>26</v>
      </c>
      <c r="G697" t="s">
        <v>54</v>
      </c>
      <c r="H697">
        <v>125169.51</v>
      </c>
      <c r="I697">
        <v>4</v>
      </c>
      <c r="J697" t="s">
        <v>28</v>
      </c>
      <c r="K697" t="s">
        <v>69</v>
      </c>
      <c r="L697" t="s">
        <v>45</v>
      </c>
      <c r="M697" t="s">
        <v>58</v>
      </c>
    </row>
    <row r="698" spans="1:13" x14ac:dyDescent="0.3">
      <c r="A698" t="s">
        <v>1142</v>
      </c>
      <c r="B698" t="s">
        <v>1143</v>
      </c>
      <c r="C698">
        <v>59</v>
      </c>
      <c r="D698" t="s">
        <v>15</v>
      </c>
      <c r="E698" t="s">
        <v>117</v>
      </c>
      <c r="F698" t="s">
        <v>89</v>
      </c>
      <c r="G698" t="s">
        <v>27</v>
      </c>
      <c r="H698">
        <v>32813.879999999997</v>
      </c>
      <c r="I698">
        <v>4</v>
      </c>
      <c r="J698" t="s">
        <v>19</v>
      </c>
      <c r="K698" t="s">
        <v>39</v>
      </c>
      <c r="L698" t="s">
        <v>30</v>
      </c>
      <c r="M698" t="s">
        <v>31</v>
      </c>
    </row>
    <row r="699" spans="1:13" x14ac:dyDescent="0.3">
      <c r="A699" t="s">
        <v>1144</v>
      </c>
      <c r="B699" t="s">
        <v>186</v>
      </c>
      <c r="C699">
        <v>70</v>
      </c>
      <c r="D699" t="s">
        <v>34</v>
      </c>
      <c r="E699" t="s">
        <v>83</v>
      </c>
      <c r="F699" t="s">
        <v>79</v>
      </c>
      <c r="G699" t="s">
        <v>36</v>
      </c>
      <c r="H699">
        <v>143314.1</v>
      </c>
      <c r="I699">
        <v>10</v>
      </c>
      <c r="J699" t="s">
        <v>28</v>
      </c>
      <c r="K699" t="s">
        <v>29</v>
      </c>
      <c r="L699" t="s">
        <v>21</v>
      </c>
      <c r="M699" t="s">
        <v>58</v>
      </c>
    </row>
    <row r="700" spans="1:13" x14ac:dyDescent="0.3">
      <c r="A700" t="s">
        <v>1145</v>
      </c>
      <c r="B700" t="s">
        <v>1146</v>
      </c>
      <c r="C700">
        <v>87</v>
      </c>
      <c r="D700" t="s">
        <v>34</v>
      </c>
      <c r="E700" t="s">
        <v>35</v>
      </c>
      <c r="F700" t="s">
        <v>26</v>
      </c>
      <c r="G700" t="s">
        <v>27</v>
      </c>
      <c r="H700">
        <v>41523.07</v>
      </c>
      <c r="I700">
        <v>8</v>
      </c>
      <c r="J700" t="s">
        <v>28</v>
      </c>
      <c r="K700" t="s">
        <v>69</v>
      </c>
      <c r="L700" t="s">
        <v>40</v>
      </c>
      <c r="M700" t="s">
        <v>31</v>
      </c>
    </row>
    <row r="701" spans="1:13" x14ac:dyDescent="0.3">
      <c r="A701" t="s">
        <v>1147</v>
      </c>
      <c r="B701" t="s">
        <v>558</v>
      </c>
      <c r="C701">
        <v>25</v>
      </c>
      <c r="D701" t="s">
        <v>34</v>
      </c>
      <c r="E701" t="s">
        <v>16</v>
      </c>
      <c r="F701" t="s">
        <v>17</v>
      </c>
      <c r="G701" t="s">
        <v>36</v>
      </c>
      <c r="H701">
        <v>146878.07</v>
      </c>
      <c r="I701">
        <v>12</v>
      </c>
      <c r="J701" t="s">
        <v>28</v>
      </c>
      <c r="K701" t="s">
        <v>29</v>
      </c>
      <c r="L701" t="s">
        <v>21</v>
      </c>
      <c r="M701" t="s">
        <v>31</v>
      </c>
    </row>
    <row r="702" spans="1:13" x14ac:dyDescent="0.3">
      <c r="A702" t="s">
        <v>1148</v>
      </c>
      <c r="B702" t="s">
        <v>119</v>
      </c>
      <c r="C702">
        <v>40</v>
      </c>
      <c r="D702" t="s">
        <v>34</v>
      </c>
      <c r="E702" t="s">
        <v>117</v>
      </c>
      <c r="F702" t="s">
        <v>79</v>
      </c>
      <c r="G702" t="s">
        <v>43</v>
      </c>
      <c r="H702">
        <v>109890.82</v>
      </c>
      <c r="I702">
        <v>16</v>
      </c>
      <c r="J702" t="s">
        <v>28</v>
      </c>
      <c r="K702" t="s">
        <v>74</v>
      </c>
      <c r="L702" t="s">
        <v>40</v>
      </c>
      <c r="M702" t="s">
        <v>31</v>
      </c>
    </row>
    <row r="703" spans="1:13" x14ac:dyDescent="0.3">
      <c r="A703" t="s">
        <v>1149</v>
      </c>
      <c r="B703" t="s">
        <v>852</v>
      </c>
      <c r="C703">
        <v>24</v>
      </c>
      <c r="D703" t="s">
        <v>34</v>
      </c>
      <c r="E703" t="s">
        <v>117</v>
      </c>
      <c r="F703" t="s">
        <v>17</v>
      </c>
      <c r="G703" t="s">
        <v>54</v>
      </c>
      <c r="H703">
        <v>121942.76</v>
      </c>
      <c r="I703">
        <v>9</v>
      </c>
      <c r="J703" t="s">
        <v>19</v>
      </c>
      <c r="K703" t="s">
        <v>55</v>
      </c>
      <c r="L703" t="s">
        <v>40</v>
      </c>
      <c r="M703" t="s">
        <v>22</v>
      </c>
    </row>
    <row r="704" spans="1:13" x14ac:dyDescent="0.3">
      <c r="A704" t="s">
        <v>1150</v>
      </c>
      <c r="B704" t="s">
        <v>366</v>
      </c>
      <c r="C704">
        <v>43</v>
      </c>
      <c r="D704" t="s">
        <v>15</v>
      </c>
      <c r="E704" t="s">
        <v>35</v>
      </c>
      <c r="F704" t="s">
        <v>61</v>
      </c>
      <c r="G704" t="s">
        <v>43</v>
      </c>
      <c r="H704">
        <v>73944.23</v>
      </c>
      <c r="I704">
        <v>10</v>
      </c>
      <c r="J704" t="s">
        <v>19</v>
      </c>
      <c r="K704" t="s">
        <v>44</v>
      </c>
      <c r="L704" t="s">
        <v>51</v>
      </c>
      <c r="M704" t="s">
        <v>58</v>
      </c>
    </row>
    <row r="705" spans="1:13" x14ac:dyDescent="0.3">
      <c r="A705" t="s">
        <v>1151</v>
      </c>
      <c r="B705" t="s">
        <v>1152</v>
      </c>
      <c r="C705">
        <v>57</v>
      </c>
      <c r="D705" t="s">
        <v>15</v>
      </c>
      <c r="E705" t="s">
        <v>16</v>
      </c>
      <c r="F705" t="s">
        <v>17</v>
      </c>
      <c r="G705" t="s">
        <v>80</v>
      </c>
      <c r="H705">
        <v>138477.76000000001</v>
      </c>
      <c r="I705">
        <v>7</v>
      </c>
      <c r="J705" t="s">
        <v>19</v>
      </c>
      <c r="K705" t="s">
        <v>74</v>
      </c>
      <c r="L705" t="s">
        <v>40</v>
      </c>
      <c r="M705" t="s">
        <v>31</v>
      </c>
    </row>
    <row r="706" spans="1:13" x14ac:dyDescent="0.3">
      <c r="A706" t="s">
        <v>1153</v>
      </c>
      <c r="B706" t="s">
        <v>76</v>
      </c>
      <c r="C706">
        <v>75</v>
      </c>
      <c r="D706" t="s">
        <v>15</v>
      </c>
      <c r="E706" t="s">
        <v>35</v>
      </c>
      <c r="F706" t="s">
        <v>79</v>
      </c>
      <c r="G706" t="s">
        <v>27</v>
      </c>
      <c r="H706">
        <v>4023.16</v>
      </c>
      <c r="I706">
        <v>12</v>
      </c>
      <c r="J706" t="s">
        <v>28</v>
      </c>
      <c r="K706" t="s">
        <v>39</v>
      </c>
      <c r="L706" t="s">
        <v>45</v>
      </c>
      <c r="M706" t="s">
        <v>31</v>
      </c>
    </row>
    <row r="707" spans="1:13" x14ac:dyDescent="0.3">
      <c r="A707" t="s">
        <v>1154</v>
      </c>
      <c r="B707" t="s">
        <v>256</v>
      </c>
      <c r="C707">
        <v>75</v>
      </c>
      <c r="D707" t="s">
        <v>34</v>
      </c>
      <c r="E707" t="s">
        <v>83</v>
      </c>
      <c r="F707" t="s">
        <v>17</v>
      </c>
      <c r="G707" t="s">
        <v>80</v>
      </c>
      <c r="H707">
        <v>5355.63</v>
      </c>
      <c r="I707">
        <v>3</v>
      </c>
      <c r="J707" t="s">
        <v>19</v>
      </c>
      <c r="K707" t="s">
        <v>74</v>
      </c>
      <c r="L707" t="s">
        <v>30</v>
      </c>
      <c r="M707" t="s">
        <v>31</v>
      </c>
    </row>
    <row r="708" spans="1:13" x14ac:dyDescent="0.3">
      <c r="A708" t="s">
        <v>1155</v>
      </c>
      <c r="B708" t="s">
        <v>235</v>
      </c>
      <c r="C708">
        <v>71</v>
      </c>
      <c r="D708" t="s">
        <v>15</v>
      </c>
      <c r="E708" t="s">
        <v>117</v>
      </c>
      <c r="F708" t="s">
        <v>17</v>
      </c>
      <c r="G708" t="s">
        <v>54</v>
      </c>
      <c r="H708">
        <v>78457.73</v>
      </c>
      <c r="I708">
        <v>19</v>
      </c>
      <c r="J708" t="s">
        <v>19</v>
      </c>
      <c r="K708" t="s">
        <v>50</v>
      </c>
      <c r="L708" t="s">
        <v>45</v>
      </c>
      <c r="M708" t="s">
        <v>22</v>
      </c>
    </row>
    <row r="709" spans="1:13" x14ac:dyDescent="0.3">
      <c r="A709" t="s">
        <v>1156</v>
      </c>
      <c r="B709" t="s">
        <v>1157</v>
      </c>
      <c r="C709">
        <v>10</v>
      </c>
      <c r="D709" t="s">
        <v>34</v>
      </c>
      <c r="E709" t="s">
        <v>117</v>
      </c>
      <c r="F709" t="s">
        <v>26</v>
      </c>
      <c r="G709" t="s">
        <v>27</v>
      </c>
      <c r="H709">
        <v>68508.81</v>
      </c>
      <c r="I709">
        <v>3</v>
      </c>
      <c r="J709" t="s">
        <v>19</v>
      </c>
      <c r="K709" t="s">
        <v>44</v>
      </c>
      <c r="L709" t="s">
        <v>51</v>
      </c>
      <c r="M709" t="s">
        <v>22</v>
      </c>
    </row>
    <row r="710" spans="1:13" x14ac:dyDescent="0.3">
      <c r="A710" t="s">
        <v>1158</v>
      </c>
      <c r="B710" t="s">
        <v>63</v>
      </c>
      <c r="C710">
        <v>23</v>
      </c>
      <c r="D710" t="s">
        <v>34</v>
      </c>
      <c r="E710" t="s">
        <v>35</v>
      </c>
      <c r="F710" t="s">
        <v>26</v>
      </c>
      <c r="G710" t="s">
        <v>54</v>
      </c>
      <c r="H710">
        <v>63771.13</v>
      </c>
      <c r="I710">
        <v>19</v>
      </c>
      <c r="J710" t="s">
        <v>28</v>
      </c>
      <c r="K710" t="s">
        <v>39</v>
      </c>
      <c r="L710" t="s">
        <v>30</v>
      </c>
      <c r="M710" t="s">
        <v>58</v>
      </c>
    </row>
    <row r="711" spans="1:13" x14ac:dyDescent="0.3">
      <c r="A711" t="s">
        <v>1159</v>
      </c>
      <c r="B711" t="s">
        <v>164</v>
      </c>
      <c r="C711">
        <v>85</v>
      </c>
      <c r="D711" t="s">
        <v>34</v>
      </c>
      <c r="E711" t="s">
        <v>25</v>
      </c>
      <c r="F711" t="s">
        <v>17</v>
      </c>
      <c r="G711" t="s">
        <v>36</v>
      </c>
      <c r="H711">
        <v>84379.23</v>
      </c>
      <c r="I711">
        <v>4</v>
      </c>
      <c r="J711" t="s">
        <v>19</v>
      </c>
      <c r="K711" t="s">
        <v>69</v>
      </c>
      <c r="L711" t="s">
        <v>112</v>
      </c>
      <c r="M711" t="s">
        <v>31</v>
      </c>
    </row>
    <row r="712" spans="1:13" x14ac:dyDescent="0.3">
      <c r="A712" t="s">
        <v>1160</v>
      </c>
      <c r="B712" t="s">
        <v>942</v>
      </c>
      <c r="C712">
        <v>3</v>
      </c>
      <c r="D712" t="s">
        <v>34</v>
      </c>
      <c r="E712" t="s">
        <v>16</v>
      </c>
      <c r="F712" t="s">
        <v>84</v>
      </c>
      <c r="G712" t="s">
        <v>43</v>
      </c>
      <c r="H712">
        <v>61024.17</v>
      </c>
      <c r="I712">
        <v>16</v>
      </c>
      <c r="J712" t="s">
        <v>28</v>
      </c>
      <c r="K712" t="s">
        <v>20</v>
      </c>
      <c r="L712" t="s">
        <v>30</v>
      </c>
      <c r="M712" t="s">
        <v>22</v>
      </c>
    </row>
    <row r="713" spans="1:13" x14ac:dyDescent="0.3">
      <c r="A713" t="s">
        <v>1161</v>
      </c>
      <c r="B713" t="s">
        <v>154</v>
      </c>
      <c r="C713">
        <v>81</v>
      </c>
      <c r="D713" t="s">
        <v>34</v>
      </c>
      <c r="E713" t="s">
        <v>117</v>
      </c>
      <c r="F713" t="s">
        <v>26</v>
      </c>
      <c r="G713" t="s">
        <v>27</v>
      </c>
      <c r="H713">
        <v>70501.759999999995</v>
      </c>
      <c r="I713">
        <v>13</v>
      </c>
      <c r="J713" t="s">
        <v>28</v>
      </c>
      <c r="K713" t="s">
        <v>44</v>
      </c>
      <c r="L713" t="s">
        <v>112</v>
      </c>
      <c r="M713" t="s">
        <v>22</v>
      </c>
    </row>
    <row r="714" spans="1:13" x14ac:dyDescent="0.3">
      <c r="A714" t="s">
        <v>1162</v>
      </c>
      <c r="B714" t="s">
        <v>1163</v>
      </c>
      <c r="C714">
        <v>42</v>
      </c>
      <c r="D714" t="s">
        <v>15</v>
      </c>
      <c r="E714" t="s">
        <v>16</v>
      </c>
      <c r="F714" t="s">
        <v>26</v>
      </c>
      <c r="G714" t="s">
        <v>43</v>
      </c>
      <c r="H714">
        <v>19433.599999999999</v>
      </c>
      <c r="I714">
        <v>20</v>
      </c>
      <c r="J714" t="s">
        <v>19</v>
      </c>
      <c r="K714" t="s">
        <v>50</v>
      </c>
      <c r="L714" t="s">
        <v>40</v>
      </c>
      <c r="M714" t="s">
        <v>58</v>
      </c>
    </row>
    <row r="715" spans="1:13" x14ac:dyDescent="0.3">
      <c r="A715" t="s">
        <v>1164</v>
      </c>
      <c r="B715" t="s">
        <v>1165</v>
      </c>
      <c r="C715">
        <v>6</v>
      </c>
      <c r="D715" t="s">
        <v>34</v>
      </c>
      <c r="E715" t="s">
        <v>35</v>
      </c>
      <c r="F715" t="s">
        <v>89</v>
      </c>
      <c r="G715" t="s">
        <v>18</v>
      </c>
      <c r="H715">
        <v>46274.97</v>
      </c>
      <c r="I715">
        <v>2</v>
      </c>
      <c r="J715" t="s">
        <v>19</v>
      </c>
      <c r="K715" t="s">
        <v>20</v>
      </c>
      <c r="L715" t="s">
        <v>40</v>
      </c>
      <c r="M715" t="s">
        <v>22</v>
      </c>
    </row>
    <row r="716" spans="1:13" x14ac:dyDescent="0.3">
      <c r="A716" t="s">
        <v>1166</v>
      </c>
      <c r="B716" t="s">
        <v>111</v>
      </c>
      <c r="C716">
        <v>40</v>
      </c>
      <c r="D716" t="s">
        <v>34</v>
      </c>
      <c r="E716" t="s">
        <v>35</v>
      </c>
      <c r="F716" t="s">
        <v>79</v>
      </c>
      <c r="G716" t="s">
        <v>18</v>
      </c>
      <c r="H716">
        <v>145892.51</v>
      </c>
      <c r="I716">
        <v>6</v>
      </c>
      <c r="J716" t="s">
        <v>19</v>
      </c>
      <c r="K716" t="s">
        <v>20</v>
      </c>
      <c r="L716" t="s">
        <v>112</v>
      </c>
      <c r="M716" t="s">
        <v>58</v>
      </c>
    </row>
    <row r="717" spans="1:13" x14ac:dyDescent="0.3">
      <c r="A717" t="s">
        <v>1167</v>
      </c>
      <c r="B717" t="s">
        <v>60</v>
      </c>
      <c r="C717">
        <v>55</v>
      </c>
      <c r="D717" t="s">
        <v>34</v>
      </c>
      <c r="E717" t="s">
        <v>64</v>
      </c>
      <c r="F717" t="s">
        <v>17</v>
      </c>
      <c r="G717" t="s">
        <v>36</v>
      </c>
      <c r="H717">
        <v>62791.93</v>
      </c>
      <c r="I717">
        <v>9</v>
      </c>
      <c r="J717" t="s">
        <v>19</v>
      </c>
      <c r="K717" t="s">
        <v>39</v>
      </c>
      <c r="L717" t="s">
        <v>51</v>
      </c>
      <c r="M717" t="s">
        <v>31</v>
      </c>
    </row>
    <row r="718" spans="1:13" x14ac:dyDescent="0.3">
      <c r="A718" t="s">
        <v>1168</v>
      </c>
      <c r="B718" t="s">
        <v>1078</v>
      </c>
      <c r="C718">
        <v>23</v>
      </c>
      <c r="D718" t="s">
        <v>15</v>
      </c>
      <c r="E718" t="s">
        <v>83</v>
      </c>
      <c r="F718" t="s">
        <v>17</v>
      </c>
      <c r="G718" t="s">
        <v>18</v>
      </c>
      <c r="H718">
        <v>94522.78</v>
      </c>
      <c r="I718">
        <v>5</v>
      </c>
      <c r="J718" t="s">
        <v>28</v>
      </c>
      <c r="K718" t="s">
        <v>39</v>
      </c>
      <c r="L718" t="s">
        <v>30</v>
      </c>
      <c r="M718" t="s">
        <v>58</v>
      </c>
    </row>
    <row r="719" spans="1:13" x14ac:dyDescent="0.3">
      <c r="A719" t="s">
        <v>1169</v>
      </c>
      <c r="B719" t="s">
        <v>605</v>
      </c>
      <c r="C719">
        <v>59</v>
      </c>
      <c r="D719" t="s">
        <v>15</v>
      </c>
      <c r="E719" t="s">
        <v>64</v>
      </c>
      <c r="F719" t="s">
        <v>17</v>
      </c>
      <c r="G719" t="s">
        <v>80</v>
      </c>
      <c r="H719">
        <v>100115.3</v>
      </c>
      <c r="I719">
        <v>15</v>
      </c>
      <c r="J719" t="s">
        <v>28</v>
      </c>
      <c r="K719" t="s">
        <v>50</v>
      </c>
      <c r="L719" t="s">
        <v>21</v>
      </c>
      <c r="M719" t="s">
        <v>22</v>
      </c>
    </row>
    <row r="720" spans="1:13" x14ac:dyDescent="0.3">
      <c r="A720" t="s">
        <v>1170</v>
      </c>
      <c r="B720" t="s">
        <v>819</v>
      </c>
      <c r="C720">
        <v>86</v>
      </c>
      <c r="D720" t="s">
        <v>34</v>
      </c>
      <c r="E720" t="s">
        <v>64</v>
      </c>
      <c r="F720" t="s">
        <v>79</v>
      </c>
      <c r="G720" t="s">
        <v>36</v>
      </c>
      <c r="H720">
        <v>86875.92</v>
      </c>
      <c r="I720">
        <v>19</v>
      </c>
      <c r="J720" t="s">
        <v>28</v>
      </c>
      <c r="K720" t="s">
        <v>29</v>
      </c>
      <c r="L720" t="s">
        <v>21</v>
      </c>
      <c r="M720" t="s">
        <v>22</v>
      </c>
    </row>
    <row r="721" spans="1:13" x14ac:dyDescent="0.3">
      <c r="A721" t="s">
        <v>1171</v>
      </c>
      <c r="B721" t="s">
        <v>465</v>
      </c>
      <c r="C721">
        <v>21</v>
      </c>
      <c r="D721" t="s">
        <v>15</v>
      </c>
      <c r="E721" t="s">
        <v>16</v>
      </c>
      <c r="F721" t="s">
        <v>79</v>
      </c>
      <c r="G721" t="s">
        <v>80</v>
      </c>
      <c r="H721">
        <v>26614.44</v>
      </c>
      <c r="I721">
        <v>5</v>
      </c>
      <c r="J721" t="s">
        <v>28</v>
      </c>
      <c r="K721" t="s">
        <v>20</v>
      </c>
      <c r="L721" t="s">
        <v>30</v>
      </c>
      <c r="M721" t="s">
        <v>58</v>
      </c>
    </row>
    <row r="722" spans="1:13" x14ac:dyDescent="0.3">
      <c r="A722" t="s">
        <v>1172</v>
      </c>
      <c r="B722" t="s">
        <v>182</v>
      </c>
      <c r="C722">
        <v>75</v>
      </c>
      <c r="D722" t="s">
        <v>34</v>
      </c>
      <c r="E722" t="s">
        <v>35</v>
      </c>
      <c r="F722" t="s">
        <v>84</v>
      </c>
      <c r="G722" t="s">
        <v>27</v>
      </c>
      <c r="H722">
        <v>147892.47</v>
      </c>
      <c r="I722">
        <v>6</v>
      </c>
      <c r="J722" t="s">
        <v>28</v>
      </c>
      <c r="K722" t="s">
        <v>74</v>
      </c>
      <c r="L722" t="s">
        <v>51</v>
      </c>
      <c r="M722" t="s">
        <v>22</v>
      </c>
    </row>
    <row r="723" spans="1:13" x14ac:dyDescent="0.3">
      <c r="A723" t="s">
        <v>1173</v>
      </c>
      <c r="B723" t="s">
        <v>176</v>
      </c>
      <c r="C723">
        <v>67</v>
      </c>
      <c r="D723" t="s">
        <v>34</v>
      </c>
      <c r="E723" t="s">
        <v>16</v>
      </c>
      <c r="F723" t="s">
        <v>89</v>
      </c>
      <c r="G723" t="s">
        <v>27</v>
      </c>
      <c r="H723">
        <v>143888.42000000001</v>
      </c>
      <c r="I723">
        <v>4</v>
      </c>
      <c r="J723" t="s">
        <v>19</v>
      </c>
      <c r="K723" t="s">
        <v>50</v>
      </c>
      <c r="L723" t="s">
        <v>51</v>
      </c>
      <c r="M723" t="s">
        <v>31</v>
      </c>
    </row>
    <row r="724" spans="1:13" x14ac:dyDescent="0.3">
      <c r="A724" t="s">
        <v>1174</v>
      </c>
      <c r="B724" t="s">
        <v>86</v>
      </c>
      <c r="C724">
        <v>35</v>
      </c>
      <c r="D724" t="s">
        <v>34</v>
      </c>
      <c r="E724" t="s">
        <v>16</v>
      </c>
      <c r="F724" t="s">
        <v>89</v>
      </c>
      <c r="G724" t="s">
        <v>36</v>
      </c>
      <c r="H724">
        <v>101284.17</v>
      </c>
      <c r="I724">
        <v>18</v>
      </c>
      <c r="J724" t="s">
        <v>19</v>
      </c>
      <c r="K724" t="s">
        <v>55</v>
      </c>
      <c r="L724" t="s">
        <v>40</v>
      </c>
      <c r="M724" t="s">
        <v>31</v>
      </c>
    </row>
    <row r="725" spans="1:13" x14ac:dyDescent="0.3">
      <c r="A725" t="s">
        <v>1175</v>
      </c>
      <c r="B725" t="s">
        <v>1176</v>
      </c>
      <c r="C725">
        <v>31</v>
      </c>
      <c r="D725" t="s">
        <v>15</v>
      </c>
      <c r="E725" t="s">
        <v>117</v>
      </c>
      <c r="F725" t="s">
        <v>89</v>
      </c>
      <c r="G725" t="s">
        <v>43</v>
      </c>
      <c r="H725">
        <v>42918.07</v>
      </c>
      <c r="I725">
        <v>4</v>
      </c>
      <c r="J725" t="s">
        <v>28</v>
      </c>
      <c r="K725" t="s">
        <v>55</v>
      </c>
      <c r="L725" t="s">
        <v>30</v>
      </c>
      <c r="M725" t="s">
        <v>22</v>
      </c>
    </row>
    <row r="726" spans="1:13" x14ac:dyDescent="0.3">
      <c r="A726" t="s">
        <v>1177</v>
      </c>
      <c r="B726" t="s">
        <v>379</v>
      </c>
      <c r="C726">
        <v>62</v>
      </c>
      <c r="D726" t="s">
        <v>15</v>
      </c>
      <c r="E726" t="s">
        <v>16</v>
      </c>
      <c r="F726" t="s">
        <v>89</v>
      </c>
      <c r="G726" t="s">
        <v>43</v>
      </c>
      <c r="H726">
        <v>82063.7</v>
      </c>
      <c r="I726">
        <v>5</v>
      </c>
      <c r="J726" t="s">
        <v>19</v>
      </c>
      <c r="K726" t="s">
        <v>39</v>
      </c>
      <c r="L726" t="s">
        <v>45</v>
      </c>
      <c r="M726" t="s">
        <v>58</v>
      </c>
    </row>
    <row r="727" spans="1:13" x14ac:dyDescent="0.3">
      <c r="A727" t="s">
        <v>1178</v>
      </c>
      <c r="B727" t="s">
        <v>703</v>
      </c>
      <c r="C727">
        <v>32</v>
      </c>
      <c r="D727" t="s">
        <v>34</v>
      </c>
      <c r="E727" t="s">
        <v>83</v>
      </c>
      <c r="F727" t="s">
        <v>17</v>
      </c>
      <c r="G727" t="s">
        <v>80</v>
      </c>
      <c r="H727">
        <v>83327.509999999995</v>
      </c>
      <c r="I727">
        <v>7</v>
      </c>
      <c r="J727" t="s">
        <v>28</v>
      </c>
      <c r="K727" t="s">
        <v>55</v>
      </c>
      <c r="L727" t="s">
        <v>21</v>
      </c>
      <c r="M727" t="s">
        <v>31</v>
      </c>
    </row>
    <row r="728" spans="1:13" x14ac:dyDescent="0.3">
      <c r="A728" t="s">
        <v>1179</v>
      </c>
      <c r="B728" t="s">
        <v>862</v>
      </c>
      <c r="C728">
        <v>2</v>
      </c>
      <c r="D728" t="s">
        <v>34</v>
      </c>
      <c r="E728" t="s">
        <v>83</v>
      </c>
      <c r="F728" t="s">
        <v>61</v>
      </c>
      <c r="G728" t="s">
        <v>36</v>
      </c>
      <c r="H728">
        <v>67484.600000000006</v>
      </c>
      <c r="I728">
        <v>11</v>
      </c>
      <c r="J728" t="s">
        <v>28</v>
      </c>
      <c r="K728" t="s">
        <v>50</v>
      </c>
      <c r="L728" t="s">
        <v>51</v>
      </c>
      <c r="M728" t="s">
        <v>31</v>
      </c>
    </row>
    <row r="729" spans="1:13" x14ac:dyDescent="0.3">
      <c r="A729" t="s">
        <v>1180</v>
      </c>
      <c r="B729" t="s">
        <v>116</v>
      </c>
      <c r="C729">
        <v>72</v>
      </c>
      <c r="D729" t="s">
        <v>15</v>
      </c>
      <c r="E729" t="s">
        <v>35</v>
      </c>
      <c r="F729" t="s">
        <v>84</v>
      </c>
      <c r="G729" t="s">
        <v>27</v>
      </c>
      <c r="H729">
        <v>59230.37</v>
      </c>
      <c r="I729">
        <v>18</v>
      </c>
      <c r="J729" t="s">
        <v>28</v>
      </c>
      <c r="K729" t="s">
        <v>39</v>
      </c>
      <c r="L729" t="s">
        <v>30</v>
      </c>
      <c r="M729" t="s">
        <v>22</v>
      </c>
    </row>
    <row r="730" spans="1:13" x14ac:dyDescent="0.3">
      <c r="A730" t="s">
        <v>1181</v>
      </c>
      <c r="B730" t="s">
        <v>696</v>
      </c>
      <c r="C730">
        <v>19</v>
      </c>
      <c r="D730" t="s">
        <v>15</v>
      </c>
      <c r="E730" t="s">
        <v>25</v>
      </c>
      <c r="F730" t="s">
        <v>89</v>
      </c>
      <c r="G730" t="s">
        <v>18</v>
      </c>
      <c r="H730">
        <v>114718.94</v>
      </c>
      <c r="I730">
        <v>14</v>
      </c>
      <c r="J730" t="s">
        <v>19</v>
      </c>
      <c r="K730" t="s">
        <v>50</v>
      </c>
      <c r="L730" t="s">
        <v>51</v>
      </c>
      <c r="M730" t="s">
        <v>22</v>
      </c>
    </row>
    <row r="731" spans="1:13" x14ac:dyDescent="0.3">
      <c r="A731" t="s">
        <v>1182</v>
      </c>
      <c r="B731" t="s">
        <v>927</v>
      </c>
      <c r="C731">
        <v>51</v>
      </c>
      <c r="D731" t="s">
        <v>34</v>
      </c>
      <c r="E731" t="s">
        <v>35</v>
      </c>
      <c r="F731" t="s">
        <v>61</v>
      </c>
      <c r="G731" t="s">
        <v>54</v>
      </c>
      <c r="H731">
        <v>141519.01999999999</v>
      </c>
      <c r="I731">
        <v>20</v>
      </c>
      <c r="J731" t="s">
        <v>19</v>
      </c>
      <c r="K731" t="s">
        <v>29</v>
      </c>
      <c r="L731" t="s">
        <v>112</v>
      </c>
      <c r="M731" t="s">
        <v>22</v>
      </c>
    </row>
    <row r="732" spans="1:13" x14ac:dyDescent="0.3">
      <c r="A732" t="s">
        <v>1183</v>
      </c>
      <c r="B732" t="s">
        <v>481</v>
      </c>
      <c r="C732">
        <v>22</v>
      </c>
      <c r="D732" t="s">
        <v>15</v>
      </c>
      <c r="E732" t="s">
        <v>35</v>
      </c>
      <c r="F732" t="s">
        <v>79</v>
      </c>
      <c r="G732" t="s">
        <v>80</v>
      </c>
      <c r="H732">
        <v>128921.32</v>
      </c>
      <c r="I732">
        <v>17</v>
      </c>
      <c r="J732" t="s">
        <v>28</v>
      </c>
      <c r="K732" t="s">
        <v>29</v>
      </c>
      <c r="L732" t="s">
        <v>51</v>
      </c>
      <c r="M732" t="s">
        <v>58</v>
      </c>
    </row>
    <row r="733" spans="1:13" x14ac:dyDescent="0.3">
      <c r="A733" t="s">
        <v>1184</v>
      </c>
      <c r="B733" t="s">
        <v>1143</v>
      </c>
      <c r="C733">
        <v>54</v>
      </c>
      <c r="D733" t="s">
        <v>34</v>
      </c>
      <c r="E733" t="s">
        <v>83</v>
      </c>
      <c r="F733" t="s">
        <v>17</v>
      </c>
      <c r="G733" t="s">
        <v>18</v>
      </c>
      <c r="H733">
        <v>124823.33</v>
      </c>
      <c r="I733">
        <v>13</v>
      </c>
      <c r="J733" t="s">
        <v>19</v>
      </c>
      <c r="K733" t="s">
        <v>50</v>
      </c>
      <c r="L733" t="s">
        <v>45</v>
      </c>
      <c r="M733" t="s">
        <v>31</v>
      </c>
    </row>
    <row r="734" spans="1:13" x14ac:dyDescent="0.3">
      <c r="A734" t="s">
        <v>1185</v>
      </c>
      <c r="B734" t="s">
        <v>1024</v>
      </c>
      <c r="C734">
        <v>29</v>
      </c>
      <c r="D734" t="s">
        <v>15</v>
      </c>
      <c r="E734" t="s">
        <v>83</v>
      </c>
      <c r="F734" t="s">
        <v>89</v>
      </c>
      <c r="G734" t="s">
        <v>43</v>
      </c>
      <c r="H734">
        <v>24744.29</v>
      </c>
      <c r="I734">
        <v>8</v>
      </c>
      <c r="J734" t="s">
        <v>28</v>
      </c>
      <c r="K734" t="s">
        <v>29</v>
      </c>
      <c r="L734" t="s">
        <v>112</v>
      </c>
      <c r="M734" t="s">
        <v>31</v>
      </c>
    </row>
    <row r="735" spans="1:13" x14ac:dyDescent="0.3">
      <c r="A735" t="s">
        <v>1186</v>
      </c>
      <c r="B735" t="s">
        <v>1076</v>
      </c>
      <c r="C735">
        <v>30</v>
      </c>
      <c r="D735" t="s">
        <v>34</v>
      </c>
      <c r="E735" t="s">
        <v>35</v>
      </c>
      <c r="F735" t="s">
        <v>84</v>
      </c>
      <c r="G735" t="s">
        <v>54</v>
      </c>
      <c r="H735">
        <v>76328.740000000005</v>
      </c>
      <c r="I735">
        <v>4</v>
      </c>
      <c r="J735" t="s">
        <v>28</v>
      </c>
      <c r="K735" t="s">
        <v>20</v>
      </c>
      <c r="L735" t="s">
        <v>40</v>
      </c>
      <c r="M735" t="s">
        <v>22</v>
      </c>
    </row>
    <row r="736" spans="1:13" x14ac:dyDescent="0.3">
      <c r="A736" t="s">
        <v>1187</v>
      </c>
      <c r="B736" t="s">
        <v>99</v>
      </c>
      <c r="C736">
        <v>25</v>
      </c>
      <c r="D736" t="s">
        <v>34</v>
      </c>
      <c r="E736" t="s">
        <v>35</v>
      </c>
      <c r="F736" t="s">
        <v>26</v>
      </c>
      <c r="G736" t="s">
        <v>54</v>
      </c>
      <c r="H736">
        <v>70839.179999999993</v>
      </c>
      <c r="I736">
        <v>20</v>
      </c>
      <c r="J736" t="s">
        <v>28</v>
      </c>
      <c r="K736" t="s">
        <v>29</v>
      </c>
      <c r="L736" t="s">
        <v>30</v>
      </c>
      <c r="M736" t="s">
        <v>31</v>
      </c>
    </row>
    <row r="737" spans="1:13" x14ac:dyDescent="0.3">
      <c r="A737" t="s">
        <v>1188</v>
      </c>
      <c r="B737" t="s">
        <v>485</v>
      </c>
      <c r="C737">
        <v>67</v>
      </c>
      <c r="D737" t="s">
        <v>34</v>
      </c>
      <c r="E737" t="s">
        <v>35</v>
      </c>
      <c r="F737" t="s">
        <v>79</v>
      </c>
      <c r="G737" t="s">
        <v>80</v>
      </c>
      <c r="H737">
        <v>110124.88</v>
      </c>
      <c r="I737">
        <v>1</v>
      </c>
      <c r="J737" t="s">
        <v>28</v>
      </c>
      <c r="K737" t="s">
        <v>44</v>
      </c>
      <c r="L737" t="s">
        <v>30</v>
      </c>
      <c r="M737" t="s">
        <v>22</v>
      </c>
    </row>
    <row r="738" spans="1:13" x14ac:dyDescent="0.3">
      <c r="A738" t="s">
        <v>1189</v>
      </c>
      <c r="B738" t="s">
        <v>282</v>
      </c>
      <c r="C738">
        <v>30</v>
      </c>
      <c r="D738" t="s">
        <v>34</v>
      </c>
      <c r="E738" t="s">
        <v>64</v>
      </c>
      <c r="F738" t="s">
        <v>17</v>
      </c>
      <c r="G738" t="s">
        <v>80</v>
      </c>
      <c r="H738">
        <v>83311.41</v>
      </c>
      <c r="I738">
        <v>7</v>
      </c>
      <c r="J738" t="s">
        <v>19</v>
      </c>
      <c r="K738" t="s">
        <v>69</v>
      </c>
      <c r="L738" t="s">
        <v>51</v>
      </c>
      <c r="M738" t="s">
        <v>22</v>
      </c>
    </row>
    <row r="739" spans="1:13" x14ac:dyDescent="0.3">
      <c r="A739" t="s">
        <v>1190</v>
      </c>
      <c r="B739" t="s">
        <v>1143</v>
      </c>
      <c r="C739">
        <v>12</v>
      </c>
      <c r="D739" t="s">
        <v>34</v>
      </c>
      <c r="E739" t="s">
        <v>117</v>
      </c>
      <c r="F739" t="s">
        <v>84</v>
      </c>
      <c r="G739" t="s">
        <v>18</v>
      </c>
      <c r="H739">
        <v>23080.26</v>
      </c>
      <c r="I739">
        <v>15</v>
      </c>
      <c r="J739" t="s">
        <v>19</v>
      </c>
      <c r="K739" t="s">
        <v>29</v>
      </c>
      <c r="L739" t="s">
        <v>21</v>
      </c>
      <c r="M739" t="s">
        <v>58</v>
      </c>
    </row>
    <row r="740" spans="1:13" x14ac:dyDescent="0.3">
      <c r="A740" t="s">
        <v>1191</v>
      </c>
      <c r="B740" t="s">
        <v>771</v>
      </c>
      <c r="C740">
        <v>22</v>
      </c>
      <c r="D740" t="s">
        <v>15</v>
      </c>
      <c r="E740" t="s">
        <v>25</v>
      </c>
      <c r="F740" t="s">
        <v>84</v>
      </c>
      <c r="G740" t="s">
        <v>43</v>
      </c>
      <c r="H740">
        <v>78898.61</v>
      </c>
      <c r="I740">
        <v>3</v>
      </c>
      <c r="J740" t="s">
        <v>19</v>
      </c>
      <c r="K740" t="s">
        <v>74</v>
      </c>
      <c r="L740" t="s">
        <v>30</v>
      </c>
      <c r="M740" t="s">
        <v>58</v>
      </c>
    </row>
    <row r="741" spans="1:13" x14ac:dyDescent="0.3">
      <c r="A741" t="s">
        <v>1192</v>
      </c>
      <c r="B741" t="s">
        <v>182</v>
      </c>
      <c r="C741">
        <v>20</v>
      </c>
      <c r="D741" t="s">
        <v>15</v>
      </c>
      <c r="E741" t="s">
        <v>16</v>
      </c>
      <c r="F741" t="s">
        <v>17</v>
      </c>
      <c r="G741" t="s">
        <v>80</v>
      </c>
      <c r="H741">
        <v>36683.97</v>
      </c>
      <c r="I741">
        <v>5</v>
      </c>
      <c r="J741" t="s">
        <v>28</v>
      </c>
      <c r="K741" t="s">
        <v>69</v>
      </c>
      <c r="L741" t="s">
        <v>112</v>
      </c>
      <c r="M741" t="s">
        <v>58</v>
      </c>
    </row>
    <row r="742" spans="1:13" x14ac:dyDescent="0.3">
      <c r="A742" t="s">
        <v>1193</v>
      </c>
      <c r="B742" t="s">
        <v>1194</v>
      </c>
      <c r="C742">
        <v>89</v>
      </c>
      <c r="D742" t="s">
        <v>15</v>
      </c>
      <c r="E742" t="s">
        <v>64</v>
      </c>
      <c r="F742" t="s">
        <v>26</v>
      </c>
      <c r="G742" t="s">
        <v>36</v>
      </c>
      <c r="H742">
        <v>119379.6</v>
      </c>
      <c r="I742">
        <v>8</v>
      </c>
      <c r="J742" t="s">
        <v>19</v>
      </c>
      <c r="K742" t="s">
        <v>44</v>
      </c>
      <c r="L742" t="s">
        <v>51</v>
      </c>
      <c r="M742" t="s">
        <v>58</v>
      </c>
    </row>
    <row r="743" spans="1:13" x14ac:dyDescent="0.3">
      <c r="A743" t="s">
        <v>1195</v>
      </c>
      <c r="B743" t="s">
        <v>143</v>
      </c>
      <c r="C743">
        <v>38</v>
      </c>
      <c r="D743" t="s">
        <v>15</v>
      </c>
      <c r="E743" t="s">
        <v>25</v>
      </c>
      <c r="F743" t="s">
        <v>89</v>
      </c>
      <c r="G743" t="s">
        <v>18</v>
      </c>
      <c r="H743">
        <v>32115.66</v>
      </c>
      <c r="I743">
        <v>20</v>
      </c>
      <c r="J743" t="s">
        <v>28</v>
      </c>
      <c r="K743" t="s">
        <v>29</v>
      </c>
      <c r="L743" t="s">
        <v>21</v>
      </c>
      <c r="M743" t="s">
        <v>22</v>
      </c>
    </row>
    <row r="744" spans="1:13" x14ac:dyDescent="0.3">
      <c r="A744" t="s">
        <v>1196</v>
      </c>
      <c r="B744" t="s">
        <v>1008</v>
      </c>
      <c r="C744">
        <v>35</v>
      </c>
      <c r="D744" t="s">
        <v>34</v>
      </c>
      <c r="E744" t="s">
        <v>117</v>
      </c>
      <c r="F744" t="s">
        <v>79</v>
      </c>
      <c r="G744" t="s">
        <v>27</v>
      </c>
      <c r="H744">
        <v>109454</v>
      </c>
      <c r="I744">
        <v>5</v>
      </c>
      <c r="J744" t="s">
        <v>28</v>
      </c>
      <c r="K744" t="s">
        <v>20</v>
      </c>
      <c r="L744" t="s">
        <v>51</v>
      </c>
      <c r="M744" t="s">
        <v>58</v>
      </c>
    </row>
    <row r="745" spans="1:13" x14ac:dyDescent="0.3">
      <c r="A745" t="s">
        <v>1197</v>
      </c>
      <c r="B745" t="s">
        <v>757</v>
      </c>
      <c r="C745">
        <v>53</v>
      </c>
      <c r="D745" t="s">
        <v>15</v>
      </c>
      <c r="E745" t="s">
        <v>117</v>
      </c>
      <c r="F745" t="s">
        <v>84</v>
      </c>
      <c r="G745" t="s">
        <v>54</v>
      </c>
      <c r="H745">
        <v>48556.73</v>
      </c>
      <c r="I745">
        <v>6</v>
      </c>
      <c r="J745" t="s">
        <v>28</v>
      </c>
      <c r="K745" t="s">
        <v>39</v>
      </c>
      <c r="L745" t="s">
        <v>51</v>
      </c>
      <c r="M745" t="s">
        <v>31</v>
      </c>
    </row>
    <row r="746" spans="1:13" x14ac:dyDescent="0.3">
      <c r="A746" t="s">
        <v>1198</v>
      </c>
      <c r="B746" t="s">
        <v>160</v>
      </c>
      <c r="C746">
        <v>57</v>
      </c>
      <c r="D746" t="s">
        <v>34</v>
      </c>
      <c r="E746" t="s">
        <v>117</v>
      </c>
      <c r="F746" t="s">
        <v>84</v>
      </c>
      <c r="G746" t="s">
        <v>43</v>
      </c>
      <c r="H746">
        <v>82621.990000000005</v>
      </c>
      <c r="I746">
        <v>14</v>
      </c>
      <c r="J746" t="s">
        <v>28</v>
      </c>
      <c r="K746" t="s">
        <v>50</v>
      </c>
      <c r="L746" t="s">
        <v>21</v>
      </c>
      <c r="M746" t="s">
        <v>58</v>
      </c>
    </row>
    <row r="747" spans="1:13" x14ac:dyDescent="0.3">
      <c r="A747" t="s">
        <v>1199</v>
      </c>
      <c r="B747" t="s">
        <v>903</v>
      </c>
      <c r="C747">
        <v>19</v>
      </c>
      <c r="D747" t="s">
        <v>34</v>
      </c>
      <c r="E747" t="s">
        <v>16</v>
      </c>
      <c r="F747" t="s">
        <v>61</v>
      </c>
      <c r="G747" t="s">
        <v>27</v>
      </c>
      <c r="H747">
        <v>48293.57</v>
      </c>
      <c r="I747">
        <v>2</v>
      </c>
      <c r="J747" t="s">
        <v>28</v>
      </c>
      <c r="K747" t="s">
        <v>39</v>
      </c>
      <c r="L747" t="s">
        <v>51</v>
      </c>
      <c r="M747" t="s">
        <v>58</v>
      </c>
    </row>
    <row r="748" spans="1:13" x14ac:dyDescent="0.3">
      <c r="A748" t="s">
        <v>1200</v>
      </c>
      <c r="B748" t="s">
        <v>1201</v>
      </c>
      <c r="C748">
        <v>9</v>
      </c>
      <c r="D748" t="s">
        <v>34</v>
      </c>
      <c r="E748" t="s">
        <v>117</v>
      </c>
      <c r="F748" t="s">
        <v>61</v>
      </c>
      <c r="G748" t="s">
        <v>43</v>
      </c>
      <c r="H748">
        <v>39428.019999999997</v>
      </c>
      <c r="I748">
        <v>8</v>
      </c>
      <c r="J748" t="s">
        <v>28</v>
      </c>
      <c r="K748" t="s">
        <v>39</v>
      </c>
      <c r="L748" t="s">
        <v>40</v>
      </c>
      <c r="M748" t="s">
        <v>31</v>
      </c>
    </row>
    <row r="749" spans="1:13" x14ac:dyDescent="0.3">
      <c r="A749" t="s">
        <v>1202</v>
      </c>
      <c r="B749" t="s">
        <v>322</v>
      </c>
      <c r="C749">
        <v>38</v>
      </c>
      <c r="D749" t="s">
        <v>34</v>
      </c>
      <c r="E749" t="s">
        <v>35</v>
      </c>
      <c r="F749" t="s">
        <v>26</v>
      </c>
      <c r="G749" t="s">
        <v>18</v>
      </c>
      <c r="H749">
        <v>106407.2</v>
      </c>
      <c r="I749">
        <v>14</v>
      </c>
      <c r="J749" t="s">
        <v>28</v>
      </c>
      <c r="K749" t="s">
        <v>50</v>
      </c>
      <c r="L749" t="s">
        <v>30</v>
      </c>
      <c r="M749" t="s">
        <v>22</v>
      </c>
    </row>
    <row r="750" spans="1:13" x14ac:dyDescent="0.3">
      <c r="A750" t="s">
        <v>1203</v>
      </c>
      <c r="B750" t="s">
        <v>1204</v>
      </c>
      <c r="C750">
        <v>77</v>
      </c>
      <c r="D750" t="s">
        <v>34</v>
      </c>
      <c r="E750" t="s">
        <v>35</v>
      </c>
      <c r="F750" t="s">
        <v>61</v>
      </c>
      <c r="G750" t="s">
        <v>18</v>
      </c>
      <c r="H750">
        <v>65208.5</v>
      </c>
      <c r="I750">
        <v>20</v>
      </c>
      <c r="J750" t="s">
        <v>28</v>
      </c>
      <c r="K750" t="s">
        <v>55</v>
      </c>
      <c r="L750" t="s">
        <v>21</v>
      </c>
      <c r="M750" t="s">
        <v>22</v>
      </c>
    </row>
    <row r="751" spans="1:13" x14ac:dyDescent="0.3">
      <c r="A751" t="s">
        <v>1205</v>
      </c>
      <c r="B751" t="s">
        <v>1206</v>
      </c>
      <c r="C751">
        <v>6</v>
      </c>
      <c r="D751" t="s">
        <v>15</v>
      </c>
      <c r="E751" t="s">
        <v>64</v>
      </c>
      <c r="F751" t="s">
        <v>79</v>
      </c>
      <c r="G751" t="s">
        <v>80</v>
      </c>
      <c r="H751">
        <v>145053.20000000001</v>
      </c>
      <c r="I751">
        <v>8</v>
      </c>
      <c r="J751" t="s">
        <v>19</v>
      </c>
      <c r="K751" t="s">
        <v>20</v>
      </c>
      <c r="L751" t="s">
        <v>40</v>
      </c>
      <c r="M751" t="s">
        <v>22</v>
      </c>
    </row>
    <row r="752" spans="1:13" x14ac:dyDescent="0.3">
      <c r="A752" t="s">
        <v>1207</v>
      </c>
      <c r="B752" t="s">
        <v>1208</v>
      </c>
      <c r="C752">
        <v>45</v>
      </c>
      <c r="D752" t="s">
        <v>15</v>
      </c>
      <c r="E752" t="s">
        <v>25</v>
      </c>
      <c r="F752" t="s">
        <v>79</v>
      </c>
      <c r="G752" t="s">
        <v>80</v>
      </c>
      <c r="H752">
        <v>131055.96</v>
      </c>
      <c r="I752">
        <v>16</v>
      </c>
      <c r="J752" t="s">
        <v>28</v>
      </c>
      <c r="K752" t="s">
        <v>29</v>
      </c>
      <c r="L752" t="s">
        <v>45</v>
      </c>
      <c r="M752" t="s">
        <v>31</v>
      </c>
    </row>
    <row r="753" spans="1:13" x14ac:dyDescent="0.3">
      <c r="A753" t="s">
        <v>1209</v>
      </c>
      <c r="B753" t="s">
        <v>1210</v>
      </c>
      <c r="C753">
        <v>62</v>
      </c>
      <c r="D753" t="s">
        <v>34</v>
      </c>
      <c r="E753" t="s">
        <v>64</v>
      </c>
      <c r="F753" t="s">
        <v>79</v>
      </c>
      <c r="G753" t="s">
        <v>80</v>
      </c>
      <c r="H753">
        <v>115839.82</v>
      </c>
      <c r="I753">
        <v>3</v>
      </c>
      <c r="J753" t="s">
        <v>19</v>
      </c>
      <c r="K753" t="s">
        <v>29</v>
      </c>
      <c r="L753" t="s">
        <v>112</v>
      </c>
      <c r="M753" t="s">
        <v>58</v>
      </c>
    </row>
    <row r="754" spans="1:13" x14ac:dyDescent="0.3">
      <c r="A754" t="s">
        <v>1211</v>
      </c>
      <c r="B754" t="s">
        <v>626</v>
      </c>
      <c r="C754">
        <v>22</v>
      </c>
      <c r="D754" t="s">
        <v>15</v>
      </c>
      <c r="E754" t="s">
        <v>25</v>
      </c>
      <c r="F754" t="s">
        <v>79</v>
      </c>
      <c r="G754" t="s">
        <v>43</v>
      </c>
      <c r="H754">
        <v>104545.44</v>
      </c>
      <c r="I754">
        <v>20</v>
      </c>
      <c r="J754" t="s">
        <v>19</v>
      </c>
      <c r="K754" t="s">
        <v>39</v>
      </c>
      <c r="L754" t="s">
        <v>51</v>
      </c>
      <c r="M754" t="s">
        <v>22</v>
      </c>
    </row>
    <row r="755" spans="1:13" x14ac:dyDescent="0.3">
      <c r="A755" t="s">
        <v>1212</v>
      </c>
      <c r="B755" t="s">
        <v>338</v>
      </c>
      <c r="C755">
        <v>35</v>
      </c>
      <c r="D755" t="s">
        <v>34</v>
      </c>
      <c r="E755" t="s">
        <v>64</v>
      </c>
      <c r="F755" t="s">
        <v>89</v>
      </c>
      <c r="G755" t="s">
        <v>80</v>
      </c>
      <c r="H755">
        <v>97830.43</v>
      </c>
      <c r="I755">
        <v>7</v>
      </c>
      <c r="J755" t="s">
        <v>19</v>
      </c>
      <c r="K755" t="s">
        <v>55</v>
      </c>
      <c r="L755" t="s">
        <v>21</v>
      </c>
      <c r="M755" t="s">
        <v>22</v>
      </c>
    </row>
    <row r="756" spans="1:13" x14ac:dyDescent="0.3">
      <c r="A756" t="s">
        <v>1213</v>
      </c>
      <c r="B756" t="s">
        <v>430</v>
      </c>
      <c r="C756">
        <v>67</v>
      </c>
      <c r="D756" t="s">
        <v>15</v>
      </c>
      <c r="E756" t="s">
        <v>35</v>
      </c>
      <c r="F756" t="s">
        <v>17</v>
      </c>
      <c r="G756" t="s">
        <v>43</v>
      </c>
      <c r="H756">
        <v>94760.08</v>
      </c>
      <c r="I756">
        <v>5</v>
      </c>
      <c r="J756" t="s">
        <v>19</v>
      </c>
      <c r="K756" t="s">
        <v>44</v>
      </c>
      <c r="L756" t="s">
        <v>112</v>
      </c>
      <c r="M756" t="s">
        <v>58</v>
      </c>
    </row>
    <row r="757" spans="1:13" x14ac:dyDescent="0.3">
      <c r="A757" t="s">
        <v>1214</v>
      </c>
      <c r="B757" t="s">
        <v>771</v>
      </c>
      <c r="C757">
        <v>88</v>
      </c>
      <c r="D757" t="s">
        <v>34</v>
      </c>
      <c r="E757" t="s">
        <v>64</v>
      </c>
      <c r="F757" t="s">
        <v>61</v>
      </c>
      <c r="G757" t="s">
        <v>18</v>
      </c>
      <c r="H757">
        <v>58797.18</v>
      </c>
      <c r="I757">
        <v>16</v>
      </c>
      <c r="J757" t="s">
        <v>19</v>
      </c>
      <c r="K757" t="s">
        <v>74</v>
      </c>
      <c r="L757" t="s">
        <v>51</v>
      </c>
      <c r="M757" t="s">
        <v>31</v>
      </c>
    </row>
    <row r="758" spans="1:13" x14ac:dyDescent="0.3">
      <c r="A758" t="s">
        <v>1215</v>
      </c>
      <c r="B758" t="s">
        <v>1216</v>
      </c>
      <c r="C758">
        <v>74</v>
      </c>
      <c r="D758" t="s">
        <v>15</v>
      </c>
      <c r="E758" t="s">
        <v>117</v>
      </c>
      <c r="F758" t="s">
        <v>84</v>
      </c>
      <c r="G758" t="s">
        <v>80</v>
      </c>
      <c r="H758">
        <v>42451.6</v>
      </c>
      <c r="I758">
        <v>6</v>
      </c>
      <c r="J758" t="s">
        <v>19</v>
      </c>
      <c r="K758" t="s">
        <v>29</v>
      </c>
      <c r="L758" t="s">
        <v>40</v>
      </c>
      <c r="M758" t="s">
        <v>58</v>
      </c>
    </row>
    <row r="759" spans="1:13" x14ac:dyDescent="0.3">
      <c r="A759" t="s">
        <v>1217</v>
      </c>
      <c r="B759" t="s">
        <v>1218</v>
      </c>
      <c r="C759">
        <v>83</v>
      </c>
      <c r="D759" t="s">
        <v>15</v>
      </c>
      <c r="E759" t="s">
        <v>25</v>
      </c>
      <c r="F759" t="s">
        <v>79</v>
      </c>
      <c r="G759" t="s">
        <v>80</v>
      </c>
      <c r="H759">
        <v>77289.2</v>
      </c>
      <c r="I759">
        <v>20</v>
      </c>
      <c r="J759" t="s">
        <v>19</v>
      </c>
      <c r="K759" t="s">
        <v>55</v>
      </c>
      <c r="L759" t="s">
        <v>51</v>
      </c>
      <c r="M759" t="s">
        <v>58</v>
      </c>
    </row>
    <row r="760" spans="1:13" x14ac:dyDescent="0.3">
      <c r="A760" t="s">
        <v>1219</v>
      </c>
      <c r="B760" t="s">
        <v>190</v>
      </c>
      <c r="C760">
        <v>72</v>
      </c>
      <c r="D760" t="s">
        <v>34</v>
      </c>
      <c r="E760" t="s">
        <v>35</v>
      </c>
      <c r="F760" t="s">
        <v>61</v>
      </c>
      <c r="G760" t="s">
        <v>54</v>
      </c>
      <c r="H760">
        <v>144560.12</v>
      </c>
      <c r="I760">
        <v>12</v>
      </c>
      <c r="J760" t="s">
        <v>19</v>
      </c>
      <c r="K760" t="s">
        <v>74</v>
      </c>
      <c r="L760" t="s">
        <v>30</v>
      </c>
      <c r="M760" t="s">
        <v>31</v>
      </c>
    </row>
    <row r="761" spans="1:13" x14ac:dyDescent="0.3">
      <c r="A761" t="s">
        <v>1220</v>
      </c>
      <c r="B761" t="s">
        <v>713</v>
      </c>
      <c r="C761">
        <v>54</v>
      </c>
      <c r="D761" t="s">
        <v>34</v>
      </c>
      <c r="E761" t="s">
        <v>35</v>
      </c>
      <c r="F761" t="s">
        <v>26</v>
      </c>
      <c r="G761" t="s">
        <v>43</v>
      </c>
      <c r="H761">
        <v>146124.1</v>
      </c>
      <c r="I761">
        <v>12</v>
      </c>
      <c r="J761" t="s">
        <v>28</v>
      </c>
      <c r="K761" t="s">
        <v>20</v>
      </c>
      <c r="L761" t="s">
        <v>45</v>
      </c>
      <c r="M761" t="s">
        <v>31</v>
      </c>
    </row>
    <row r="762" spans="1:13" x14ac:dyDescent="0.3">
      <c r="A762" t="s">
        <v>1221</v>
      </c>
      <c r="B762" t="s">
        <v>677</v>
      </c>
      <c r="C762">
        <v>83</v>
      </c>
      <c r="D762" t="s">
        <v>34</v>
      </c>
      <c r="E762" t="s">
        <v>117</v>
      </c>
      <c r="F762" t="s">
        <v>89</v>
      </c>
      <c r="G762" t="s">
        <v>36</v>
      </c>
      <c r="H762">
        <v>86877.94</v>
      </c>
      <c r="I762">
        <v>8</v>
      </c>
      <c r="J762" t="s">
        <v>19</v>
      </c>
      <c r="K762" t="s">
        <v>50</v>
      </c>
      <c r="L762" t="s">
        <v>112</v>
      </c>
      <c r="M762" t="s">
        <v>22</v>
      </c>
    </row>
    <row r="763" spans="1:13" x14ac:dyDescent="0.3">
      <c r="A763" t="s">
        <v>1222</v>
      </c>
      <c r="B763" t="s">
        <v>1223</v>
      </c>
      <c r="C763">
        <v>84</v>
      </c>
      <c r="D763" t="s">
        <v>34</v>
      </c>
      <c r="E763" t="s">
        <v>16</v>
      </c>
      <c r="F763" t="s">
        <v>61</v>
      </c>
      <c r="G763" t="s">
        <v>27</v>
      </c>
      <c r="H763">
        <v>86034.9</v>
      </c>
      <c r="I763">
        <v>6</v>
      </c>
      <c r="J763" t="s">
        <v>19</v>
      </c>
      <c r="K763" t="s">
        <v>20</v>
      </c>
      <c r="L763" t="s">
        <v>45</v>
      </c>
      <c r="M763" t="s">
        <v>31</v>
      </c>
    </row>
    <row r="764" spans="1:13" x14ac:dyDescent="0.3">
      <c r="A764" t="s">
        <v>1224</v>
      </c>
      <c r="B764" t="s">
        <v>544</v>
      </c>
      <c r="C764">
        <v>46</v>
      </c>
      <c r="D764" t="s">
        <v>15</v>
      </c>
      <c r="E764" t="s">
        <v>64</v>
      </c>
      <c r="F764" t="s">
        <v>26</v>
      </c>
      <c r="G764" t="s">
        <v>18</v>
      </c>
      <c r="H764">
        <v>36988.39</v>
      </c>
      <c r="I764">
        <v>15</v>
      </c>
      <c r="J764" t="s">
        <v>28</v>
      </c>
      <c r="K764" t="s">
        <v>50</v>
      </c>
      <c r="L764" t="s">
        <v>21</v>
      </c>
      <c r="M764" t="s">
        <v>58</v>
      </c>
    </row>
    <row r="765" spans="1:13" x14ac:dyDescent="0.3">
      <c r="A765" t="s">
        <v>1225</v>
      </c>
      <c r="B765" t="s">
        <v>49</v>
      </c>
      <c r="C765">
        <v>77</v>
      </c>
      <c r="D765" t="s">
        <v>15</v>
      </c>
      <c r="E765" t="s">
        <v>83</v>
      </c>
      <c r="F765" t="s">
        <v>17</v>
      </c>
      <c r="G765" t="s">
        <v>80</v>
      </c>
      <c r="H765">
        <v>94449.46</v>
      </c>
      <c r="I765">
        <v>15</v>
      </c>
      <c r="J765" t="s">
        <v>28</v>
      </c>
      <c r="K765" t="s">
        <v>44</v>
      </c>
      <c r="L765" t="s">
        <v>112</v>
      </c>
      <c r="M765" t="s">
        <v>58</v>
      </c>
    </row>
    <row r="766" spans="1:13" x14ac:dyDescent="0.3">
      <c r="A766" t="s">
        <v>1226</v>
      </c>
      <c r="B766" t="s">
        <v>60</v>
      </c>
      <c r="C766">
        <v>38</v>
      </c>
      <c r="D766" t="s">
        <v>15</v>
      </c>
      <c r="E766" t="s">
        <v>16</v>
      </c>
      <c r="F766" t="s">
        <v>17</v>
      </c>
      <c r="G766" t="s">
        <v>36</v>
      </c>
      <c r="H766">
        <v>54927.91</v>
      </c>
      <c r="I766">
        <v>2</v>
      </c>
      <c r="J766" t="s">
        <v>28</v>
      </c>
      <c r="K766" t="s">
        <v>39</v>
      </c>
      <c r="L766" t="s">
        <v>45</v>
      </c>
      <c r="M766" t="s">
        <v>22</v>
      </c>
    </row>
    <row r="767" spans="1:13" x14ac:dyDescent="0.3">
      <c r="A767" t="s">
        <v>1227</v>
      </c>
      <c r="B767" t="s">
        <v>693</v>
      </c>
      <c r="C767">
        <v>2</v>
      </c>
      <c r="D767" t="s">
        <v>34</v>
      </c>
      <c r="E767" t="s">
        <v>16</v>
      </c>
      <c r="F767" t="s">
        <v>61</v>
      </c>
      <c r="G767" t="s">
        <v>27</v>
      </c>
      <c r="H767">
        <v>117026.74</v>
      </c>
      <c r="I767">
        <v>20</v>
      </c>
      <c r="J767" t="s">
        <v>28</v>
      </c>
      <c r="K767" t="s">
        <v>74</v>
      </c>
      <c r="L767" t="s">
        <v>40</v>
      </c>
      <c r="M767" t="s">
        <v>31</v>
      </c>
    </row>
    <row r="768" spans="1:13" x14ac:dyDescent="0.3">
      <c r="A768" t="s">
        <v>1228</v>
      </c>
      <c r="B768" t="s">
        <v>1008</v>
      </c>
      <c r="C768">
        <v>66</v>
      </c>
      <c r="D768" t="s">
        <v>34</v>
      </c>
      <c r="E768" t="s">
        <v>25</v>
      </c>
      <c r="F768" t="s">
        <v>89</v>
      </c>
      <c r="G768" t="s">
        <v>18</v>
      </c>
      <c r="H768">
        <v>124002.13</v>
      </c>
      <c r="I768">
        <v>3</v>
      </c>
      <c r="J768" t="s">
        <v>28</v>
      </c>
      <c r="K768" t="s">
        <v>39</v>
      </c>
      <c r="L768" t="s">
        <v>51</v>
      </c>
      <c r="M768" t="s">
        <v>31</v>
      </c>
    </row>
    <row r="769" spans="1:13" x14ac:dyDescent="0.3">
      <c r="A769" t="s">
        <v>1229</v>
      </c>
      <c r="B769" t="s">
        <v>483</v>
      </c>
      <c r="C769">
        <v>50</v>
      </c>
      <c r="D769" t="s">
        <v>34</v>
      </c>
      <c r="E769" t="s">
        <v>35</v>
      </c>
      <c r="F769" t="s">
        <v>61</v>
      </c>
      <c r="G769" t="s">
        <v>36</v>
      </c>
      <c r="H769">
        <v>42827.24</v>
      </c>
      <c r="I769">
        <v>15</v>
      </c>
      <c r="J769" t="s">
        <v>19</v>
      </c>
      <c r="K769" t="s">
        <v>50</v>
      </c>
      <c r="L769" t="s">
        <v>40</v>
      </c>
      <c r="M769" t="s">
        <v>31</v>
      </c>
    </row>
    <row r="770" spans="1:13" x14ac:dyDescent="0.3">
      <c r="A770" t="s">
        <v>1230</v>
      </c>
      <c r="B770" t="s">
        <v>360</v>
      </c>
      <c r="C770">
        <v>10</v>
      </c>
      <c r="D770" t="s">
        <v>34</v>
      </c>
      <c r="E770" t="s">
        <v>25</v>
      </c>
      <c r="F770" t="s">
        <v>17</v>
      </c>
      <c r="G770" t="s">
        <v>80</v>
      </c>
      <c r="H770">
        <v>59998.04</v>
      </c>
      <c r="I770">
        <v>15</v>
      </c>
      <c r="J770" t="s">
        <v>28</v>
      </c>
      <c r="K770" t="s">
        <v>74</v>
      </c>
      <c r="L770" t="s">
        <v>40</v>
      </c>
      <c r="M770" t="s">
        <v>58</v>
      </c>
    </row>
    <row r="771" spans="1:13" x14ac:dyDescent="0.3">
      <c r="A771" t="s">
        <v>1231</v>
      </c>
      <c r="B771" t="s">
        <v>901</v>
      </c>
      <c r="C771">
        <v>90</v>
      </c>
      <c r="D771" t="s">
        <v>34</v>
      </c>
      <c r="E771" t="s">
        <v>117</v>
      </c>
      <c r="F771" t="s">
        <v>84</v>
      </c>
      <c r="G771" t="s">
        <v>54</v>
      </c>
      <c r="H771">
        <v>132623.56</v>
      </c>
      <c r="I771">
        <v>10</v>
      </c>
      <c r="J771" t="s">
        <v>28</v>
      </c>
      <c r="K771" t="s">
        <v>55</v>
      </c>
      <c r="L771" t="s">
        <v>40</v>
      </c>
      <c r="M771" t="s">
        <v>22</v>
      </c>
    </row>
    <row r="772" spans="1:13" x14ac:dyDescent="0.3">
      <c r="A772" t="s">
        <v>1232</v>
      </c>
      <c r="B772" t="s">
        <v>107</v>
      </c>
      <c r="C772">
        <v>14</v>
      </c>
      <c r="D772" t="s">
        <v>15</v>
      </c>
      <c r="E772" t="s">
        <v>64</v>
      </c>
      <c r="F772" t="s">
        <v>61</v>
      </c>
      <c r="G772" t="s">
        <v>36</v>
      </c>
      <c r="H772">
        <v>149568.25</v>
      </c>
      <c r="I772">
        <v>13</v>
      </c>
      <c r="J772" t="s">
        <v>28</v>
      </c>
      <c r="K772" t="s">
        <v>55</v>
      </c>
      <c r="L772" t="s">
        <v>45</v>
      </c>
      <c r="M772" t="s">
        <v>22</v>
      </c>
    </row>
    <row r="773" spans="1:13" x14ac:dyDescent="0.3">
      <c r="A773" t="s">
        <v>1233</v>
      </c>
      <c r="B773" t="s">
        <v>254</v>
      </c>
      <c r="C773">
        <v>59</v>
      </c>
      <c r="D773" t="s">
        <v>15</v>
      </c>
      <c r="E773" t="s">
        <v>25</v>
      </c>
      <c r="F773" t="s">
        <v>89</v>
      </c>
      <c r="G773" t="s">
        <v>18</v>
      </c>
      <c r="H773">
        <v>32537.41</v>
      </c>
      <c r="I773">
        <v>16</v>
      </c>
      <c r="J773" t="s">
        <v>19</v>
      </c>
      <c r="K773" t="s">
        <v>20</v>
      </c>
      <c r="L773" t="s">
        <v>21</v>
      </c>
      <c r="M773" t="s">
        <v>31</v>
      </c>
    </row>
    <row r="774" spans="1:13" x14ac:dyDescent="0.3">
      <c r="A774" t="s">
        <v>1234</v>
      </c>
      <c r="B774" t="s">
        <v>1235</v>
      </c>
      <c r="C774">
        <v>85</v>
      </c>
      <c r="D774" t="s">
        <v>34</v>
      </c>
      <c r="E774" t="s">
        <v>64</v>
      </c>
      <c r="F774" t="s">
        <v>61</v>
      </c>
      <c r="G774" t="s">
        <v>36</v>
      </c>
      <c r="H774">
        <v>14174</v>
      </c>
      <c r="I774">
        <v>18</v>
      </c>
      <c r="J774" t="s">
        <v>19</v>
      </c>
      <c r="K774" t="s">
        <v>29</v>
      </c>
      <c r="L774" t="s">
        <v>40</v>
      </c>
      <c r="M774" t="s">
        <v>22</v>
      </c>
    </row>
    <row r="775" spans="1:13" x14ac:dyDescent="0.3">
      <c r="A775" t="s">
        <v>1236</v>
      </c>
      <c r="B775" t="s">
        <v>1237</v>
      </c>
      <c r="C775">
        <v>75</v>
      </c>
      <c r="D775" t="s">
        <v>15</v>
      </c>
      <c r="E775" t="s">
        <v>25</v>
      </c>
      <c r="F775" t="s">
        <v>79</v>
      </c>
      <c r="G775" t="s">
        <v>27</v>
      </c>
      <c r="H775">
        <v>122941.45</v>
      </c>
      <c r="I775">
        <v>13</v>
      </c>
      <c r="J775" t="s">
        <v>28</v>
      </c>
      <c r="K775" t="s">
        <v>20</v>
      </c>
      <c r="L775" t="s">
        <v>112</v>
      </c>
      <c r="M775" t="s">
        <v>58</v>
      </c>
    </row>
    <row r="776" spans="1:13" x14ac:dyDescent="0.3">
      <c r="A776" t="s">
        <v>1238</v>
      </c>
      <c r="B776" t="s">
        <v>63</v>
      </c>
      <c r="C776">
        <v>38</v>
      </c>
      <c r="D776" t="s">
        <v>34</v>
      </c>
      <c r="E776" t="s">
        <v>16</v>
      </c>
      <c r="F776" t="s">
        <v>84</v>
      </c>
      <c r="G776" t="s">
        <v>54</v>
      </c>
      <c r="H776">
        <v>124875.97</v>
      </c>
      <c r="I776">
        <v>13</v>
      </c>
      <c r="J776" t="s">
        <v>28</v>
      </c>
      <c r="K776" t="s">
        <v>74</v>
      </c>
      <c r="L776" t="s">
        <v>45</v>
      </c>
      <c r="M776" t="s">
        <v>22</v>
      </c>
    </row>
    <row r="777" spans="1:13" x14ac:dyDescent="0.3">
      <c r="A777" t="s">
        <v>1239</v>
      </c>
      <c r="B777" t="s">
        <v>362</v>
      </c>
      <c r="C777">
        <v>18</v>
      </c>
      <c r="D777" t="s">
        <v>34</v>
      </c>
      <c r="E777" t="s">
        <v>35</v>
      </c>
      <c r="F777" t="s">
        <v>61</v>
      </c>
      <c r="G777" t="s">
        <v>80</v>
      </c>
      <c r="H777">
        <v>7988.53</v>
      </c>
      <c r="I777">
        <v>19</v>
      </c>
      <c r="J777" t="s">
        <v>28</v>
      </c>
      <c r="K777" t="s">
        <v>39</v>
      </c>
      <c r="L777" t="s">
        <v>45</v>
      </c>
      <c r="M777" t="s">
        <v>22</v>
      </c>
    </row>
    <row r="778" spans="1:13" x14ac:dyDescent="0.3">
      <c r="A778" t="s">
        <v>1240</v>
      </c>
      <c r="B778" t="s">
        <v>1241</v>
      </c>
      <c r="C778">
        <v>31</v>
      </c>
      <c r="D778" t="s">
        <v>34</v>
      </c>
      <c r="E778" t="s">
        <v>35</v>
      </c>
      <c r="F778" t="s">
        <v>89</v>
      </c>
      <c r="G778" t="s">
        <v>36</v>
      </c>
      <c r="H778">
        <v>19455.34</v>
      </c>
      <c r="I778">
        <v>17</v>
      </c>
      <c r="J778" t="s">
        <v>19</v>
      </c>
      <c r="K778" t="s">
        <v>50</v>
      </c>
      <c r="L778" t="s">
        <v>45</v>
      </c>
      <c r="M778" t="s">
        <v>58</v>
      </c>
    </row>
    <row r="779" spans="1:13" x14ac:dyDescent="0.3">
      <c r="A779" t="s">
        <v>1242</v>
      </c>
      <c r="B779" t="s">
        <v>831</v>
      </c>
      <c r="C779">
        <v>10</v>
      </c>
      <c r="D779" t="s">
        <v>15</v>
      </c>
      <c r="E779" t="s">
        <v>117</v>
      </c>
      <c r="F779" t="s">
        <v>17</v>
      </c>
      <c r="G779" t="s">
        <v>18</v>
      </c>
      <c r="H779">
        <v>16424.25</v>
      </c>
      <c r="I779">
        <v>9</v>
      </c>
      <c r="J779" t="s">
        <v>19</v>
      </c>
      <c r="K779" t="s">
        <v>29</v>
      </c>
      <c r="L779" t="s">
        <v>45</v>
      </c>
      <c r="M779" t="s">
        <v>58</v>
      </c>
    </row>
    <row r="780" spans="1:13" x14ac:dyDescent="0.3">
      <c r="A780" t="s">
        <v>1243</v>
      </c>
      <c r="B780" t="s">
        <v>690</v>
      </c>
      <c r="C780">
        <v>86</v>
      </c>
      <c r="D780" t="s">
        <v>15</v>
      </c>
      <c r="E780" t="s">
        <v>117</v>
      </c>
      <c r="F780" t="s">
        <v>61</v>
      </c>
      <c r="G780" t="s">
        <v>27</v>
      </c>
      <c r="H780">
        <v>68307.16</v>
      </c>
      <c r="I780">
        <v>16</v>
      </c>
      <c r="J780" t="s">
        <v>28</v>
      </c>
      <c r="K780" t="s">
        <v>55</v>
      </c>
      <c r="L780" t="s">
        <v>112</v>
      </c>
      <c r="M780" t="s">
        <v>31</v>
      </c>
    </row>
    <row r="781" spans="1:13" x14ac:dyDescent="0.3">
      <c r="A781" t="s">
        <v>1244</v>
      </c>
      <c r="B781" t="s">
        <v>888</v>
      </c>
      <c r="C781">
        <v>41</v>
      </c>
      <c r="D781" t="s">
        <v>15</v>
      </c>
      <c r="E781" t="s">
        <v>83</v>
      </c>
      <c r="F781" t="s">
        <v>26</v>
      </c>
      <c r="G781" t="s">
        <v>43</v>
      </c>
      <c r="H781">
        <v>69880</v>
      </c>
      <c r="I781">
        <v>17</v>
      </c>
      <c r="J781" t="s">
        <v>19</v>
      </c>
      <c r="K781" t="s">
        <v>20</v>
      </c>
      <c r="L781" t="s">
        <v>40</v>
      </c>
      <c r="M781" t="s">
        <v>31</v>
      </c>
    </row>
    <row r="782" spans="1:13" x14ac:dyDescent="0.3">
      <c r="A782" t="s">
        <v>1245</v>
      </c>
      <c r="B782" t="s">
        <v>1246</v>
      </c>
      <c r="C782">
        <v>8</v>
      </c>
      <c r="D782" t="s">
        <v>15</v>
      </c>
      <c r="E782" t="s">
        <v>16</v>
      </c>
      <c r="F782" t="s">
        <v>79</v>
      </c>
      <c r="G782" t="s">
        <v>27</v>
      </c>
      <c r="H782">
        <v>23554.22</v>
      </c>
      <c r="I782">
        <v>16</v>
      </c>
      <c r="J782" t="s">
        <v>28</v>
      </c>
      <c r="K782" t="s">
        <v>20</v>
      </c>
      <c r="L782" t="s">
        <v>45</v>
      </c>
      <c r="M782" t="s">
        <v>31</v>
      </c>
    </row>
    <row r="783" spans="1:13" x14ac:dyDescent="0.3">
      <c r="A783" t="s">
        <v>1247</v>
      </c>
      <c r="B783" t="s">
        <v>548</v>
      </c>
      <c r="C783">
        <v>66</v>
      </c>
      <c r="D783" t="s">
        <v>34</v>
      </c>
      <c r="E783" t="s">
        <v>83</v>
      </c>
      <c r="F783" t="s">
        <v>84</v>
      </c>
      <c r="G783" t="s">
        <v>54</v>
      </c>
      <c r="H783">
        <v>10909.32</v>
      </c>
      <c r="I783">
        <v>12</v>
      </c>
      <c r="J783" t="s">
        <v>19</v>
      </c>
      <c r="K783" t="s">
        <v>74</v>
      </c>
      <c r="L783" t="s">
        <v>30</v>
      </c>
      <c r="M783" t="s">
        <v>31</v>
      </c>
    </row>
    <row r="784" spans="1:13" x14ac:dyDescent="0.3">
      <c r="A784" t="s">
        <v>1248</v>
      </c>
      <c r="B784" t="s">
        <v>91</v>
      </c>
      <c r="C784">
        <v>34</v>
      </c>
      <c r="D784" t="s">
        <v>34</v>
      </c>
      <c r="E784" t="s">
        <v>64</v>
      </c>
      <c r="F784" t="s">
        <v>17</v>
      </c>
      <c r="G784" t="s">
        <v>43</v>
      </c>
      <c r="H784">
        <v>74818.929999999993</v>
      </c>
      <c r="I784">
        <v>1</v>
      </c>
      <c r="J784" t="s">
        <v>19</v>
      </c>
      <c r="K784" t="s">
        <v>39</v>
      </c>
      <c r="L784" t="s">
        <v>51</v>
      </c>
      <c r="M784" t="s">
        <v>31</v>
      </c>
    </row>
    <row r="785" spans="1:13" x14ac:dyDescent="0.3">
      <c r="A785" t="s">
        <v>1249</v>
      </c>
      <c r="B785" t="s">
        <v>137</v>
      </c>
      <c r="C785">
        <v>20</v>
      </c>
      <c r="D785" t="s">
        <v>15</v>
      </c>
      <c r="E785" t="s">
        <v>16</v>
      </c>
      <c r="F785" t="s">
        <v>17</v>
      </c>
      <c r="G785" t="s">
        <v>18</v>
      </c>
      <c r="H785">
        <v>74265.75</v>
      </c>
      <c r="I785">
        <v>8</v>
      </c>
      <c r="J785" t="s">
        <v>28</v>
      </c>
      <c r="K785" t="s">
        <v>69</v>
      </c>
      <c r="L785" t="s">
        <v>30</v>
      </c>
      <c r="M785" t="s">
        <v>22</v>
      </c>
    </row>
    <row r="786" spans="1:13" x14ac:dyDescent="0.3">
      <c r="A786" t="s">
        <v>1250</v>
      </c>
      <c r="B786" t="s">
        <v>188</v>
      </c>
      <c r="C786">
        <v>8</v>
      </c>
      <c r="D786" t="s">
        <v>34</v>
      </c>
      <c r="E786" t="s">
        <v>83</v>
      </c>
      <c r="F786" t="s">
        <v>61</v>
      </c>
      <c r="G786" t="s">
        <v>27</v>
      </c>
      <c r="H786">
        <v>45951.37</v>
      </c>
      <c r="I786">
        <v>19</v>
      </c>
      <c r="J786" t="s">
        <v>28</v>
      </c>
      <c r="K786" t="s">
        <v>55</v>
      </c>
      <c r="L786" t="s">
        <v>40</v>
      </c>
      <c r="M786" t="s">
        <v>58</v>
      </c>
    </row>
    <row r="787" spans="1:13" x14ac:dyDescent="0.3">
      <c r="A787" t="s">
        <v>1251</v>
      </c>
      <c r="B787" t="s">
        <v>154</v>
      </c>
      <c r="C787">
        <v>44</v>
      </c>
      <c r="D787" t="s">
        <v>34</v>
      </c>
      <c r="E787" t="s">
        <v>83</v>
      </c>
      <c r="F787" t="s">
        <v>84</v>
      </c>
      <c r="G787" t="s">
        <v>54</v>
      </c>
      <c r="H787">
        <v>115691</v>
      </c>
      <c r="I787">
        <v>7</v>
      </c>
      <c r="J787" t="s">
        <v>28</v>
      </c>
      <c r="K787" t="s">
        <v>69</v>
      </c>
      <c r="L787" t="s">
        <v>112</v>
      </c>
      <c r="M787" t="s">
        <v>22</v>
      </c>
    </row>
    <row r="788" spans="1:13" x14ac:dyDescent="0.3">
      <c r="A788" t="s">
        <v>1252</v>
      </c>
      <c r="B788" t="s">
        <v>749</v>
      </c>
      <c r="C788">
        <v>85</v>
      </c>
      <c r="D788" t="s">
        <v>34</v>
      </c>
      <c r="E788" t="s">
        <v>64</v>
      </c>
      <c r="F788" t="s">
        <v>84</v>
      </c>
      <c r="G788" t="s">
        <v>43</v>
      </c>
      <c r="H788">
        <v>146662.43</v>
      </c>
      <c r="I788">
        <v>4</v>
      </c>
      <c r="J788" t="s">
        <v>28</v>
      </c>
      <c r="K788" t="s">
        <v>50</v>
      </c>
      <c r="L788" t="s">
        <v>40</v>
      </c>
      <c r="M788" t="s">
        <v>58</v>
      </c>
    </row>
    <row r="789" spans="1:13" x14ac:dyDescent="0.3">
      <c r="A789" t="s">
        <v>1253</v>
      </c>
      <c r="B789" t="s">
        <v>150</v>
      </c>
      <c r="C789">
        <v>86</v>
      </c>
      <c r="D789" t="s">
        <v>34</v>
      </c>
      <c r="E789" t="s">
        <v>117</v>
      </c>
      <c r="F789" t="s">
        <v>17</v>
      </c>
      <c r="G789" t="s">
        <v>27</v>
      </c>
      <c r="H789">
        <v>13953.78</v>
      </c>
      <c r="I789">
        <v>4</v>
      </c>
      <c r="J789" t="s">
        <v>19</v>
      </c>
      <c r="K789" t="s">
        <v>20</v>
      </c>
      <c r="L789" t="s">
        <v>30</v>
      </c>
      <c r="M789" t="s">
        <v>31</v>
      </c>
    </row>
    <row r="790" spans="1:13" x14ac:dyDescent="0.3">
      <c r="A790" t="s">
        <v>1254</v>
      </c>
      <c r="B790" t="s">
        <v>1078</v>
      </c>
      <c r="C790">
        <v>28</v>
      </c>
      <c r="D790" t="s">
        <v>34</v>
      </c>
      <c r="E790" t="s">
        <v>64</v>
      </c>
      <c r="F790" t="s">
        <v>61</v>
      </c>
      <c r="G790" t="s">
        <v>54</v>
      </c>
      <c r="H790">
        <v>41257.14</v>
      </c>
      <c r="I790">
        <v>2</v>
      </c>
      <c r="J790" t="s">
        <v>19</v>
      </c>
      <c r="K790" t="s">
        <v>74</v>
      </c>
      <c r="L790" t="s">
        <v>51</v>
      </c>
      <c r="M790" t="s">
        <v>22</v>
      </c>
    </row>
    <row r="791" spans="1:13" x14ac:dyDescent="0.3">
      <c r="A791" t="s">
        <v>1255</v>
      </c>
      <c r="B791" t="s">
        <v>867</v>
      </c>
      <c r="C791">
        <v>60</v>
      </c>
      <c r="D791" t="s">
        <v>34</v>
      </c>
      <c r="E791" t="s">
        <v>16</v>
      </c>
      <c r="F791" t="s">
        <v>61</v>
      </c>
      <c r="G791" t="s">
        <v>36</v>
      </c>
      <c r="H791">
        <v>113190.23</v>
      </c>
      <c r="I791">
        <v>16</v>
      </c>
      <c r="J791" t="s">
        <v>19</v>
      </c>
      <c r="K791" t="s">
        <v>44</v>
      </c>
      <c r="L791" t="s">
        <v>45</v>
      </c>
      <c r="M791" t="s">
        <v>22</v>
      </c>
    </row>
    <row r="792" spans="1:13" x14ac:dyDescent="0.3">
      <c r="A792" t="s">
        <v>1256</v>
      </c>
      <c r="B792" t="s">
        <v>687</v>
      </c>
      <c r="C792">
        <v>59</v>
      </c>
      <c r="D792" t="s">
        <v>34</v>
      </c>
      <c r="E792" t="s">
        <v>16</v>
      </c>
      <c r="F792" t="s">
        <v>89</v>
      </c>
      <c r="G792" t="s">
        <v>80</v>
      </c>
      <c r="H792">
        <v>131869.03</v>
      </c>
      <c r="I792">
        <v>11</v>
      </c>
      <c r="J792" t="s">
        <v>19</v>
      </c>
      <c r="K792" t="s">
        <v>20</v>
      </c>
      <c r="L792" t="s">
        <v>51</v>
      </c>
      <c r="M792" t="s">
        <v>58</v>
      </c>
    </row>
    <row r="793" spans="1:13" x14ac:dyDescent="0.3">
      <c r="A793" t="s">
        <v>1257</v>
      </c>
      <c r="B793" t="s">
        <v>1258</v>
      </c>
      <c r="C793">
        <v>56</v>
      </c>
      <c r="D793" t="s">
        <v>34</v>
      </c>
      <c r="E793" t="s">
        <v>16</v>
      </c>
      <c r="F793" t="s">
        <v>84</v>
      </c>
      <c r="G793" t="s">
        <v>54</v>
      </c>
      <c r="H793">
        <v>137474.60999999999</v>
      </c>
      <c r="I793">
        <v>12</v>
      </c>
      <c r="J793" t="s">
        <v>19</v>
      </c>
      <c r="K793" t="s">
        <v>50</v>
      </c>
      <c r="L793" t="s">
        <v>51</v>
      </c>
      <c r="M793" t="s">
        <v>22</v>
      </c>
    </row>
    <row r="794" spans="1:13" x14ac:dyDescent="0.3">
      <c r="A794" t="s">
        <v>1259</v>
      </c>
      <c r="B794" t="s">
        <v>700</v>
      </c>
      <c r="C794">
        <v>26</v>
      </c>
      <c r="D794" t="s">
        <v>34</v>
      </c>
      <c r="E794" t="s">
        <v>35</v>
      </c>
      <c r="F794" t="s">
        <v>89</v>
      </c>
      <c r="G794" t="s">
        <v>36</v>
      </c>
      <c r="H794">
        <v>73783.28</v>
      </c>
      <c r="I794">
        <v>16</v>
      </c>
      <c r="J794" t="s">
        <v>19</v>
      </c>
      <c r="K794" t="s">
        <v>55</v>
      </c>
      <c r="L794" t="s">
        <v>51</v>
      </c>
      <c r="M794" t="s">
        <v>31</v>
      </c>
    </row>
    <row r="795" spans="1:13" x14ac:dyDescent="0.3">
      <c r="A795" t="s">
        <v>1260</v>
      </c>
      <c r="B795" t="s">
        <v>86</v>
      </c>
      <c r="C795">
        <v>79</v>
      </c>
      <c r="D795" t="s">
        <v>15</v>
      </c>
      <c r="E795" t="s">
        <v>64</v>
      </c>
      <c r="F795" t="s">
        <v>61</v>
      </c>
      <c r="G795" t="s">
        <v>27</v>
      </c>
      <c r="H795">
        <v>149803.04999999999</v>
      </c>
      <c r="I795">
        <v>2</v>
      </c>
      <c r="J795" t="s">
        <v>28</v>
      </c>
      <c r="K795" t="s">
        <v>69</v>
      </c>
      <c r="L795" t="s">
        <v>112</v>
      </c>
      <c r="M795" t="s">
        <v>58</v>
      </c>
    </row>
    <row r="796" spans="1:13" x14ac:dyDescent="0.3">
      <c r="A796" t="s">
        <v>1261</v>
      </c>
      <c r="B796" t="s">
        <v>445</v>
      </c>
      <c r="C796">
        <v>9</v>
      </c>
      <c r="D796" t="s">
        <v>15</v>
      </c>
      <c r="E796" t="s">
        <v>64</v>
      </c>
      <c r="F796" t="s">
        <v>89</v>
      </c>
      <c r="G796" t="s">
        <v>36</v>
      </c>
      <c r="H796">
        <v>5503.04</v>
      </c>
      <c r="I796">
        <v>15</v>
      </c>
      <c r="J796" t="s">
        <v>28</v>
      </c>
      <c r="K796" t="s">
        <v>69</v>
      </c>
      <c r="L796" t="s">
        <v>112</v>
      </c>
      <c r="M796" t="s">
        <v>58</v>
      </c>
    </row>
    <row r="797" spans="1:13" x14ac:dyDescent="0.3">
      <c r="A797" t="s">
        <v>1262</v>
      </c>
      <c r="B797" t="s">
        <v>1263</v>
      </c>
      <c r="C797">
        <v>77</v>
      </c>
      <c r="D797" t="s">
        <v>15</v>
      </c>
      <c r="E797" t="s">
        <v>16</v>
      </c>
      <c r="F797" t="s">
        <v>84</v>
      </c>
      <c r="G797" t="s">
        <v>27</v>
      </c>
      <c r="H797">
        <v>106640.38</v>
      </c>
      <c r="I797">
        <v>2</v>
      </c>
      <c r="J797" t="s">
        <v>28</v>
      </c>
      <c r="K797" t="s">
        <v>20</v>
      </c>
      <c r="L797" t="s">
        <v>51</v>
      </c>
      <c r="M797" t="s">
        <v>31</v>
      </c>
    </row>
    <row r="798" spans="1:13" x14ac:dyDescent="0.3">
      <c r="A798" t="s">
        <v>1264</v>
      </c>
      <c r="B798" t="s">
        <v>1265</v>
      </c>
      <c r="C798">
        <v>86</v>
      </c>
      <c r="D798" t="s">
        <v>15</v>
      </c>
      <c r="E798" t="s">
        <v>35</v>
      </c>
      <c r="F798" t="s">
        <v>79</v>
      </c>
      <c r="G798" t="s">
        <v>43</v>
      </c>
      <c r="H798">
        <v>119082.03</v>
      </c>
      <c r="I798">
        <v>9</v>
      </c>
      <c r="J798" t="s">
        <v>19</v>
      </c>
      <c r="K798" t="s">
        <v>69</v>
      </c>
      <c r="L798" t="s">
        <v>45</v>
      </c>
      <c r="M798" t="s">
        <v>58</v>
      </c>
    </row>
    <row r="799" spans="1:13" x14ac:dyDescent="0.3">
      <c r="A799" t="s">
        <v>1266</v>
      </c>
      <c r="B799" t="s">
        <v>755</v>
      </c>
      <c r="C799">
        <v>9</v>
      </c>
      <c r="D799" t="s">
        <v>34</v>
      </c>
      <c r="E799" t="s">
        <v>83</v>
      </c>
      <c r="F799" t="s">
        <v>84</v>
      </c>
      <c r="G799" t="s">
        <v>54</v>
      </c>
      <c r="H799">
        <v>53186.04</v>
      </c>
      <c r="I799">
        <v>20</v>
      </c>
      <c r="J799" t="s">
        <v>28</v>
      </c>
      <c r="K799" t="s">
        <v>55</v>
      </c>
      <c r="L799" t="s">
        <v>21</v>
      </c>
      <c r="M799" t="s">
        <v>31</v>
      </c>
    </row>
    <row r="800" spans="1:13" x14ac:dyDescent="0.3">
      <c r="A800" t="s">
        <v>1267</v>
      </c>
      <c r="B800" t="s">
        <v>572</v>
      </c>
      <c r="C800">
        <v>11</v>
      </c>
      <c r="D800" t="s">
        <v>15</v>
      </c>
      <c r="E800" t="s">
        <v>35</v>
      </c>
      <c r="F800" t="s">
        <v>89</v>
      </c>
      <c r="G800" t="s">
        <v>80</v>
      </c>
      <c r="H800">
        <v>31543.45</v>
      </c>
      <c r="I800">
        <v>16</v>
      </c>
      <c r="J800" t="s">
        <v>28</v>
      </c>
      <c r="K800" t="s">
        <v>29</v>
      </c>
      <c r="L800" t="s">
        <v>51</v>
      </c>
      <c r="M800" t="s">
        <v>58</v>
      </c>
    </row>
    <row r="801" spans="1:13" x14ac:dyDescent="0.3">
      <c r="A801" t="s">
        <v>1268</v>
      </c>
      <c r="B801" t="s">
        <v>265</v>
      </c>
      <c r="C801">
        <v>16</v>
      </c>
      <c r="D801" t="s">
        <v>34</v>
      </c>
      <c r="E801" t="s">
        <v>83</v>
      </c>
      <c r="F801" t="s">
        <v>17</v>
      </c>
      <c r="G801" t="s">
        <v>43</v>
      </c>
      <c r="H801">
        <v>111055.71</v>
      </c>
      <c r="I801">
        <v>12</v>
      </c>
      <c r="J801" t="s">
        <v>19</v>
      </c>
      <c r="K801" t="s">
        <v>44</v>
      </c>
      <c r="L801" t="s">
        <v>112</v>
      </c>
      <c r="M801" t="s">
        <v>58</v>
      </c>
    </row>
    <row r="802" spans="1:13" x14ac:dyDescent="0.3">
      <c r="A802" t="s">
        <v>1269</v>
      </c>
      <c r="B802" t="s">
        <v>525</v>
      </c>
      <c r="C802">
        <v>60</v>
      </c>
      <c r="D802" t="s">
        <v>34</v>
      </c>
      <c r="E802" t="s">
        <v>25</v>
      </c>
      <c r="F802" t="s">
        <v>89</v>
      </c>
      <c r="G802" t="s">
        <v>27</v>
      </c>
      <c r="H802">
        <v>12968.44</v>
      </c>
      <c r="I802">
        <v>11</v>
      </c>
      <c r="J802" t="s">
        <v>28</v>
      </c>
      <c r="K802" t="s">
        <v>69</v>
      </c>
      <c r="L802" t="s">
        <v>21</v>
      </c>
      <c r="M802" t="s">
        <v>58</v>
      </c>
    </row>
    <row r="803" spans="1:13" x14ac:dyDescent="0.3">
      <c r="A803" t="s">
        <v>1270</v>
      </c>
      <c r="B803" t="s">
        <v>946</v>
      </c>
      <c r="C803">
        <v>41</v>
      </c>
      <c r="D803" t="s">
        <v>34</v>
      </c>
      <c r="E803" t="s">
        <v>83</v>
      </c>
      <c r="F803" t="s">
        <v>84</v>
      </c>
      <c r="G803" t="s">
        <v>43</v>
      </c>
      <c r="H803">
        <v>15481.55</v>
      </c>
      <c r="I803">
        <v>7</v>
      </c>
      <c r="J803" t="s">
        <v>28</v>
      </c>
      <c r="K803" t="s">
        <v>55</v>
      </c>
      <c r="L803" t="s">
        <v>21</v>
      </c>
      <c r="M803" t="s">
        <v>58</v>
      </c>
    </row>
    <row r="804" spans="1:13" x14ac:dyDescent="0.3">
      <c r="A804" t="s">
        <v>1271</v>
      </c>
      <c r="B804" t="s">
        <v>981</v>
      </c>
      <c r="C804">
        <v>58</v>
      </c>
      <c r="D804" t="s">
        <v>34</v>
      </c>
      <c r="E804" t="s">
        <v>35</v>
      </c>
      <c r="F804" t="s">
        <v>79</v>
      </c>
      <c r="G804" t="s">
        <v>36</v>
      </c>
      <c r="H804">
        <v>54640.85</v>
      </c>
      <c r="I804">
        <v>17</v>
      </c>
      <c r="J804" t="s">
        <v>28</v>
      </c>
      <c r="K804" t="s">
        <v>69</v>
      </c>
      <c r="L804" t="s">
        <v>30</v>
      </c>
      <c r="M804" t="s">
        <v>58</v>
      </c>
    </row>
    <row r="805" spans="1:13" x14ac:dyDescent="0.3">
      <c r="A805" t="s">
        <v>1272</v>
      </c>
      <c r="B805" t="s">
        <v>109</v>
      </c>
      <c r="C805">
        <v>11</v>
      </c>
      <c r="D805" t="s">
        <v>15</v>
      </c>
      <c r="E805" t="s">
        <v>16</v>
      </c>
      <c r="F805" t="s">
        <v>61</v>
      </c>
      <c r="G805" t="s">
        <v>54</v>
      </c>
      <c r="H805">
        <v>144963.69</v>
      </c>
      <c r="I805">
        <v>10</v>
      </c>
      <c r="J805" t="s">
        <v>19</v>
      </c>
      <c r="K805" t="s">
        <v>39</v>
      </c>
      <c r="L805" t="s">
        <v>51</v>
      </c>
      <c r="M805" t="s">
        <v>31</v>
      </c>
    </row>
    <row r="806" spans="1:13" x14ac:dyDescent="0.3">
      <c r="A806" t="s">
        <v>1273</v>
      </c>
      <c r="B806" t="s">
        <v>949</v>
      </c>
      <c r="C806">
        <v>47</v>
      </c>
      <c r="D806" t="s">
        <v>34</v>
      </c>
      <c r="E806" t="s">
        <v>83</v>
      </c>
      <c r="F806" t="s">
        <v>26</v>
      </c>
      <c r="G806" t="s">
        <v>43</v>
      </c>
      <c r="H806">
        <v>110502.39999999999</v>
      </c>
      <c r="I806">
        <v>12</v>
      </c>
      <c r="J806" t="s">
        <v>19</v>
      </c>
      <c r="K806" t="s">
        <v>50</v>
      </c>
      <c r="L806" t="s">
        <v>40</v>
      </c>
      <c r="M806" t="s">
        <v>58</v>
      </c>
    </row>
    <row r="807" spans="1:13" x14ac:dyDescent="0.3">
      <c r="A807" t="s">
        <v>1274</v>
      </c>
      <c r="B807" t="s">
        <v>661</v>
      </c>
      <c r="C807">
        <v>77</v>
      </c>
      <c r="D807" t="s">
        <v>15</v>
      </c>
      <c r="E807" t="s">
        <v>35</v>
      </c>
      <c r="F807" t="s">
        <v>61</v>
      </c>
      <c r="G807" t="s">
        <v>18</v>
      </c>
      <c r="H807">
        <v>78044.800000000003</v>
      </c>
      <c r="I807">
        <v>14</v>
      </c>
      <c r="J807" t="s">
        <v>19</v>
      </c>
      <c r="K807" t="s">
        <v>44</v>
      </c>
      <c r="L807" t="s">
        <v>40</v>
      </c>
      <c r="M807" t="s">
        <v>31</v>
      </c>
    </row>
    <row r="808" spans="1:13" x14ac:dyDescent="0.3">
      <c r="A808" t="s">
        <v>1275</v>
      </c>
      <c r="B808" t="s">
        <v>360</v>
      </c>
      <c r="C808">
        <v>58</v>
      </c>
      <c r="D808" t="s">
        <v>15</v>
      </c>
      <c r="E808" t="s">
        <v>35</v>
      </c>
      <c r="F808" t="s">
        <v>61</v>
      </c>
      <c r="G808" t="s">
        <v>18</v>
      </c>
      <c r="H808">
        <v>149473.91</v>
      </c>
      <c r="I808">
        <v>3</v>
      </c>
      <c r="J808" t="s">
        <v>28</v>
      </c>
      <c r="K808" t="s">
        <v>69</v>
      </c>
      <c r="L808" t="s">
        <v>112</v>
      </c>
      <c r="M808" t="s">
        <v>31</v>
      </c>
    </row>
    <row r="809" spans="1:13" x14ac:dyDescent="0.3">
      <c r="A809" t="s">
        <v>1276</v>
      </c>
      <c r="B809" t="s">
        <v>1277</v>
      </c>
      <c r="C809">
        <v>5</v>
      </c>
      <c r="D809" t="s">
        <v>34</v>
      </c>
      <c r="E809" t="s">
        <v>64</v>
      </c>
      <c r="F809" t="s">
        <v>89</v>
      </c>
      <c r="G809" t="s">
        <v>54</v>
      </c>
      <c r="H809">
        <v>143182</v>
      </c>
      <c r="I809">
        <v>2</v>
      </c>
      <c r="J809" t="s">
        <v>28</v>
      </c>
      <c r="K809" t="s">
        <v>29</v>
      </c>
      <c r="L809" t="s">
        <v>21</v>
      </c>
      <c r="M809" t="s">
        <v>22</v>
      </c>
    </row>
    <row r="810" spans="1:13" x14ac:dyDescent="0.3">
      <c r="A810" t="s">
        <v>1278</v>
      </c>
      <c r="B810" t="s">
        <v>385</v>
      </c>
      <c r="C810">
        <v>16</v>
      </c>
      <c r="D810" t="s">
        <v>15</v>
      </c>
      <c r="E810" t="s">
        <v>16</v>
      </c>
      <c r="F810" t="s">
        <v>61</v>
      </c>
      <c r="G810" t="s">
        <v>80</v>
      </c>
      <c r="H810">
        <v>82928.490000000005</v>
      </c>
      <c r="I810">
        <v>17</v>
      </c>
      <c r="J810" t="s">
        <v>28</v>
      </c>
      <c r="K810" t="s">
        <v>50</v>
      </c>
      <c r="L810" t="s">
        <v>51</v>
      </c>
      <c r="M810" t="s">
        <v>31</v>
      </c>
    </row>
    <row r="811" spans="1:13" x14ac:dyDescent="0.3">
      <c r="A811" t="s">
        <v>1279</v>
      </c>
      <c r="B811" t="s">
        <v>368</v>
      </c>
      <c r="C811">
        <v>64</v>
      </c>
      <c r="D811" t="s">
        <v>15</v>
      </c>
      <c r="E811" t="s">
        <v>16</v>
      </c>
      <c r="F811" t="s">
        <v>89</v>
      </c>
      <c r="G811" t="s">
        <v>43</v>
      </c>
      <c r="H811">
        <v>12926.41</v>
      </c>
      <c r="I811">
        <v>6</v>
      </c>
      <c r="J811" t="s">
        <v>19</v>
      </c>
      <c r="K811" t="s">
        <v>50</v>
      </c>
      <c r="L811" t="s">
        <v>112</v>
      </c>
      <c r="M811" t="s">
        <v>58</v>
      </c>
    </row>
    <row r="812" spans="1:13" x14ac:dyDescent="0.3">
      <c r="A812" t="s">
        <v>1280</v>
      </c>
      <c r="B812" t="s">
        <v>452</v>
      </c>
      <c r="C812">
        <v>80</v>
      </c>
      <c r="D812" t="s">
        <v>15</v>
      </c>
      <c r="E812" t="s">
        <v>16</v>
      </c>
      <c r="F812" t="s">
        <v>17</v>
      </c>
      <c r="G812" t="s">
        <v>36</v>
      </c>
      <c r="H812">
        <v>43013.59</v>
      </c>
      <c r="I812">
        <v>10</v>
      </c>
      <c r="J812" t="s">
        <v>28</v>
      </c>
      <c r="K812" t="s">
        <v>55</v>
      </c>
      <c r="L812" t="s">
        <v>51</v>
      </c>
      <c r="M812" t="s">
        <v>31</v>
      </c>
    </row>
    <row r="813" spans="1:13" x14ac:dyDescent="0.3">
      <c r="A813" t="s">
        <v>1281</v>
      </c>
      <c r="B813" t="s">
        <v>483</v>
      </c>
      <c r="C813">
        <v>28</v>
      </c>
      <c r="D813" t="s">
        <v>34</v>
      </c>
      <c r="E813" t="s">
        <v>35</v>
      </c>
      <c r="F813" t="s">
        <v>26</v>
      </c>
      <c r="G813" t="s">
        <v>54</v>
      </c>
      <c r="H813">
        <v>53004.92</v>
      </c>
      <c r="I813">
        <v>1</v>
      </c>
      <c r="J813" t="s">
        <v>28</v>
      </c>
      <c r="K813" t="s">
        <v>44</v>
      </c>
      <c r="L813" t="s">
        <v>21</v>
      </c>
      <c r="M813" t="s">
        <v>58</v>
      </c>
    </row>
    <row r="814" spans="1:13" x14ac:dyDescent="0.3">
      <c r="A814" t="s">
        <v>1282</v>
      </c>
      <c r="B814" t="s">
        <v>127</v>
      </c>
      <c r="C814">
        <v>56</v>
      </c>
      <c r="D814" t="s">
        <v>15</v>
      </c>
      <c r="E814" t="s">
        <v>25</v>
      </c>
      <c r="F814" t="s">
        <v>61</v>
      </c>
      <c r="G814" t="s">
        <v>27</v>
      </c>
      <c r="H814">
        <v>136265.17000000001</v>
      </c>
      <c r="I814">
        <v>12</v>
      </c>
      <c r="J814" t="s">
        <v>28</v>
      </c>
      <c r="K814" t="s">
        <v>39</v>
      </c>
      <c r="L814" t="s">
        <v>21</v>
      </c>
      <c r="M814" t="s">
        <v>31</v>
      </c>
    </row>
    <row r="815" spans="1:13" x14ac:dyDescent="0.3">
      <c r="A815" t="s">
        <v>1283</v>
      </c>
      <c r="B815" t="s">
        <v>278</v>
      </c>
      <c r="C815">
        <v>10</v>
      </c>
      <c r="D815" t="s">
        <v>34</v>
      </c>
      <c r="E815" t="s">
        <v>117</v>
      </c>
      <c r="F815" t="s">
        <v>79</v>
      </c>
      <c r="G815" t="s">
        <v>54</v>
      </c>
      <c r="H815">
        <v>27455.46</v>
      </c>
      <c r="I815">
        <v>12</v>
      </c>
      <c r="J815" t="s">
        <v>19</v>
      </c>
      <c r="K815" t="s">
        <v>44</v>
      </c>
      <c r="L815" t="s">
        <v>40</v>
      </c>
      <c r="M815" t="s">
        <v>31</v>
      </c>
    </row>
    <row r="816" spans="1:13" x14ac:dyDescent="0.3">
      <c r="A816" t="s">
        <v>1284</v>
      </c>
      <c r="B816" t="s">
        <v>749</v>
      </c>
      <c r="C816">
        <v>61</v>
      </c>
      <c r="D816" t="s">
        <v>34</v>
      </c>
      <c r="E816" t="s">
        <v>35</v>
      </c>
      <c r="F816" t="s">
        <v>79</v>
      </c>
      <c r="G816" t="s">
        <v>36</v>
      </c>
      <c r="H816">
        <v>59571.77</v>
      </c>
      <c r="I816">
        <v>2</v>
      </c>
      <c r="J816" t="s">
        <v>19</v>
      </c>
      <c r="K816" t="s">
        <v>39</v>
      </c>
      <c r="L816" t="s">
        <v>112</v>
      </c>
      <c r="M816" t="s">
        <v>31</v>
      </c>
    </row>
    <row r="817" spans="1:13" x14ac:dyDescent="0.3">
      <c r="A817" t="s">
        <v>1285</v>
      </c>
      <c r="B817" t="s">
        <v>190</v>
      </c>
      <c r="C817">
        <v>48</v>
      </c>
      <c r="D817" t="s">
        <v>34</v>
      </c>
      <c r="E817" t="s">
        <v>83</v>
      </c>
      <c r="F817" t="s">
        <v>84</v>
      </c>
      <c r="G817" t="s">
        <v>43</v>
      </c>
      <c r="H817">
        <v>107049.59</v>
      </c>
      <c r="I817">
        <v>5</v>
      </c>
      <c r="J817" t="s">
        <v>19</v>
      </c>
      <c r="K817" t="s">
        <v>44</v>
      </c>
      <c r="L817" t="s">
        <v>112</v>
      </c>
      <c r="M817" t="s">
        <v>58</v>
      </c>
    </row>
    <row r="818" spans="1:13" x14ac:dyDescent="0.3">
      <c r="A818" t="s">
        <v>1286</v>
      </c>
      <c r="B818" t="s">
        <v>516</v>
      </c>
      <c r="C818">
        <v>21</v>
      </c>
      <c r="D818" t="s">
        <v>34</v>
      </c>
      <c r="E818" t="s">
        <v>83</v>
      </c>
      <c r="F818" t="s">
        <v>89</v>
      </c>
      <c r="G818" t="s">
        <v>27</v>
      </c>
      <c r="H818">
        <v>38984.839999999997</v>
      </c>
      <c r="I818">
        <v>13</v>
      </c>
      <c r="J818" t="s">
        <v>28</v>
      </c>
      <c r="K818" t="s">
        <v>39</v>
      </c>
      <c r="L818" t="s">
        <v>30</v>
      </c>
      <c r="M818" t="s">
        <v>58</v>
      </c>
    </row>
    <row r="819" spans="1:13" x14ac:dyDescent="0.3">
      <c r="A819" t="s">
        <v>1287</v>
      </c>
      <c r="B819" t="s">
        <v>333</v>
      </c>
      <c r="C819">
        <v>40</v>
      </c>
      <c r="D819" t="s">
        <v>15</v>
      </c>
      <c r="E819" t="s">
        <v>35</v>
      </c>
      <c r="F819" t="s">
        <v>61</v>
      </c>
      <c r="G819" t="s">
        <v>54</v>
      </c>
      <c r="H819">
        <v>146072.88</v>
      </c>
      <c r="I819">
        <v>13</v>
      </c>
      <c r="J819" t="s">
        <v>28</v>
      </c>
      <c r="K819" t="s">
        <v>55</v>
      </c>
      <c r="L819" t="s">
        <v>21</v>
      </c>
      <c r="M819" t="s">
        <v>31</v>
      </c>
    </row>
    <row r="820" spans="1:13" x14ac:dyDescent="0.3">
      <c r="A820" t="s">
        <v>1288</v>
      </c>
      <c r="B820" t="s">
        <v>125</v>
      </c>
      <c r="C820">
        <v>43</v>
      </c>
      <c r="D820" t="s">
        <v>15</v>
      </c>
      <c r="E820" t="s">
        <v>16</v>
      </c>
      <c r="F820" t="s">
        <v>61</v>
      </c>
      <c r="G820" t="s">
        <v>27</v>
      </c>
      <c r="H820">
        <v>43916.24</v>
      </c>
      <c r="I820">
        <v>14</v>
      </c>
      <c r="J820" t="s">
        <v>19</v>
      </c>
      <c r="K820" t="s">
        <v>39</v>
      </c>
      <c r="L820" t="s">
        <v>40</v>
      </c>
      <c r="M820" t="s">
        <v>22</v>
      </c>
    </row>
    <row r="821" spans="1:13" x14ac:dyDescent="0.3">
      <c r="A821" t="s">
        <v>1289</v>
      </c>
      <c r="B821" t="s">
        <v>1290</v>
      </c>
      <c r="C821">
        <v>88</v>
      </c>
      <c r="D821" t="s">
        <v>34</v>
      </c>
      <c r="E821" t="s">
        <v>117</v>
      </c>
      <c r="F821" t="s">
        <v>84</v>
      </c>
      <c r="G821" t="s">
        <v>27</v>
      </c>
      <c r="H821">
        <v>123706.94</v>
      </c>
      <c r="I821">
        <v>7</v>
      </c>
      <c r="J821" t="s">
        <v>28</v>
      </c>
      <c r="K821" t="s">
        <v>39</v>
      </c>
      <c r="L821" t="s">
        <v>30</v>
      </c>
      <c r="M821" t="s">
        <v>58</v>
      </c>
    </row>
    <row r="822" spans="1:13" x14ac:dyDescent="0.3">
      <c r="A822" t="s">
        <v>1291</v>
      </c>
      <c r="B822" t="s">
        <v>377</v>
      </c>
      <c r="C822">
        <v>30</v>
      </c>
      <c r="D822" t="s">
        <v>15</v>
      </c>
      <c r="E822" t="s">
        <v>16</v>
      </c>
      <c r="F822" t="s">
        <v>89</v>
      </c>
      <c r="G822" t="s">
        <v>54</v>
      </c>
      <c r="H822">
        <v>13751.53</v>
      </c>
      <c r="I822">
        <v>2</v>
      </c>
      <c r="J822" t="s">
        <v>28</v>
      </c>
      <c r="K822" t="s">
        <v>74</v>
      </c>
      <c r="L822" t="s">
        <v>21</v>
      </c>
      <c r="M822" t="s">
        <v>58</v>
      </c>
    </row>
    <row r="823" spans="1:13" x14ac:dyDescent="0.3">
      <c r="A823" t="s">
        <v>1292</v>
      </c>
      <c r="B823" t="s">
        <v>1008</v>
      </c>
      <c r="C823">
        <v>72</v>
      </c>
      <c r="D823" t="s">
        <v>34</v>
      </c>
      <c r="E823" t="s">
        <v>16</v>
      </c>
      <c r="F823" t="s">
        <v>26</v>
      </c>
      <c r="G823" t="s">
        <v>36</v>
      </c>
      <c r="H823">
        <v>32408.07</v>
      </c>
      <c r="I823">
        <v>6</v>
      </c>
      <c r="J823" t="s">
        <v>19</v>
      </c>
      <c r="K823" t="s">
        <v>29</v>
      </c>
      <c r="L823" t="s">
        <v>112</v>
      </c>
      <c r="M823" t="s">
        <v>31</v>
      </c>
    </row>
    <row r="824" spans="1:13" x14ac:dyDescent="0.3">
      <c r="A824" t="s">
        <v>1293</v>
      </c>
      <c r="B824" t="s">
        <v>119</v>
      </c>
      <c r="C824">
        <v>67</v>
      </c>
      <c r="D824" t="s">
        <v>15</v>
      </c>
      <c r="E824" t="s">
        <v>25</v>
      </c>
      <c r="F824" t="s">
        <v>79</v>
      </c>
      <c r="G824" t="s">
        <v>18</v>
      </c>
      <c r="H824">
        <v>91222.6</v>
      </c>
      <c r="I824">
        <v>14</v>
      </c>
      <c r="J824" t="s">
        <v>28</v>
      </c>
      <c r="K824" t="s">
        <v>44</v>
      </c>
      <c r="L824" t="s">
        <v>112</v>
      </c>
      <c r="M824" t="s">
        <v>31</v>
      </c>
    </row>
    <row r="825" spans="1:13" x14ac:dyDescent="0.3">
      <c r="A825" t="s">
        <v>1294</v>
      </c>
      <c r="B825" t="s">
        <v>1241</v>
      </c>
      <c r="C825">
        <v>87</v>
      </c>
      <c r="D825" t="s">
        <v>15</v>
      </c>
      <c r="E825" t="s">
        <v>16</v>
      </c>
      <c r="F825" t="s">
        <v>79</v>
      </c>
      <c r="G825" t="s">
        <v>43</v>
      </c>
      <c r="H825">
        <v>114235.57</v>
      </c>
      <c r="I825">
        <v>10</v>
      </c>
      <c r="J825" t="s">
        <v>19</v>
      </c>
      <c r="K825" t="s">
        <v>74</v>
      </c>
      <c r="L825" t="s">
        <v>112</v>
      </c>
      <c r="M825" t="s">
        <v>31</v>
      </c>
    </row>
    <row r="826" spans="1:13" x14ac:dyDescent="0.3">
      <c r="A826" t="s">
        <v>1295</v>
      </c>
      <c r="B826" t="s">
        <v>1296</v>
      </c>
      <c r="C826">
        <v>6</v>
      </c>
      <c r="D826" t="s">
        <v>34</v>
      </c>
      <c r="E826" t="s">
        <v>117</v>
      </c>
      <c r="F826" t="s">
        <v>17</v>
      </c>
      <c r="G826" t="s">
        <v>27</v>
      </c>
      <c r="H826">
        <v>141682.25</v>
      </c>
      <c r="I826">
        <v>7</v>
      </c>
      <c r="J826" t="s">
        <v>19</v>
      </c>
      <c r="K826" t="s">
        <v>74</v>
      </c>
      <c r="L826" t="s">
        <v>21</v>
      </c>
      <c r="M826" t="s">
        <v>31</v>
      </c>
    </row>
    <row r="827" spans="1:13" x14ac:dyDescent="0.3">
      <c r="A827" t="s">
        <v>1297</v>
      </c>
      <c r="B827" t="s">
        <v>883</v>
      </c>
      <c r="C827">
        <v>11</v>
      </c>
      <c r="D827" t="s">
        <v>34</v>
      </c>
      <c r="E827" t="s">
        <v>16</v>
      </c>
      <c r="F827" t="s">
        <v>26</v>
      </c>
      <c r="G827" t="s">
        <v>80</v>
      </c>
      <c r="H827">
        <v>108365.7</v>
      </c>
      <c r="I827">
        <v>18</v>
      </c>
      <c r="J827" t="s">
        <v>28</v>
      </c>
      <c r="K827" t="s">
        <v>39</v>
      </c>
      <c r="L827" t="s">
        <v>45</v>
      </c>
      <c r="M827" t="s">
        <v>31</v>
      </c>
    </row>
    <row r="828" spans="1:13" x14ac:dyDescent="0.3">
      <c r="A828" t="s">
        <v>1298</v>
      </c>
      <c r="B828" t="s">
        <v>485</v>
      </c>
      <c r="C828">
        <v>58</v>
      </c>
      <c r="D828" t="s">
        <v>34</v>
      </c>
      <c r="E828" t="s">
        <v>35</v>
      </c>
      <c r="F828" t="s">
        <v>61</v>
      </c>
      <c r="G828" t="s">
        <v>43</v>
      </c>
      <c r="H828">
        <v>7058.25</v>
      </c>
      <c r="I828">
        <v>19</v>
      </c>
      <c r="J828" t="s">
        <v>19</v>
      </c>
      <c r="K828" t="s">
        <v>20</v>
      </c>
      <c r="L828" t="s">
        <v>30</v>
      </c>
      <c r="M828" t="s">
        <v>31</v>
      </c>
    </row>
    <row r="829" spans="1:13" x14ac:dyDescent="0.3">
      <c r="A829" t="s">
        <v>1299</v>
      </c>
      <c r="B829" t="s">
        <v>1100</v>
      </c>
      <c r="C829">
        <v>36</v>
      </c>
      <c r="D829" t="s">
        <v>34</v>
      </c>
      <c r="E829" t="s">
        <v>16</v>
      </c>
      <c r="F829" t="s">
        <v>84</v>
      </c>
      <c r="G829" t="s">
        <v>36</v>
      </c>
      <c r="H829">
        <v>132699.67000000001</v>
      </c>
      <c r="I829">
        <v>16</v>
      </c>
      <c r="J829" t="s">
        <v>19</v>
      </c>
      <c r="K829" t="s">
        <v>50</v>
      </c>
      <c r="L829" t="s">
        <v>21</v>
      </c>
      <c r="M829" t="s">
        <v>31</v>
      </c>
    </row>
    <row r="830" spans="1:13" x14ac:dyDescent="0.3">
      <c r="A830" t="s">
        <v>1300</v>
      </c>
      <c r="B830" t="s">
        <v>131</v>
      </c>
      <c r="C830">
        <v>81</v>
      </c>
      <c r="D830" t="s">
        <v>34</v>
      </c>
      <c r="E830" t="s">
        <v>25</v>
      </c>
      <c r="F830" t="s">
        <v>17</v>
      </c>
      <c r="G830" t="s">
        <v>54</v>
      </c>
      <c r="H830">
        <v>123907.56</v>
      </c>
      <c r="I830">
        <v>6</v>
      </c>
      <c r="J830" t="s">
        <v>28</v>
      </c>
      <c r="K830" t="s">
        <v>39</v>
      </c>
      <c r="L830" t="s">
        <v>51</v>
      </c>
      <c r="M830" t="s">
        <v>58</v>
      </c>
    </row>
    <row r="831" spans="1:13" x14ac:dyDescent="0.3">
      <c r="A831" t="s">
        <v>1301</v>
      </c>
      <c r="B831" t="s">
        <v>733</v>
      </c>
      <c r="C831">
        <v>27</v>
      </c>
      <c r="D831" t="s">
        <v>15</v>
      </c>
      <c r="E831" t="s">
        <v>16</v>
      </c>
      <c r="F831" t="s">
        <v>17</v>
      </c>
      <c r="G831" t="s">
        <v>18</v>
      </c>
      <c r="H831">
        <v>23351.52</v>
      </c>
      <c r="I831">
        <v>16</v>
      </c>
      <c r="J831" t="s">
        <v>19</v>
      </c>
      <c r="K831" t="s">
        <v>44</v>
      </c>
      <c r="L831" t="s">
        <v>40</v>
      </c>
      <c r="M831" t="s">
        <v>31</v>
      </c>
    </row>
    <row r="832" spans="1:13" x14ac:dyDescent="0.3">
      <c r="A832" t="s">
        <v>1302</v>
      </c>
      <c r="B832" t="s">
        <v>269</v>
      </c>
      <c r="C832">
        <v>21</v>
      </c>
      <c r="D832" t="s">
        <v>34</v>
      </c>
      <c r="E832" t="s">
        <v>35</v>
      </c>
      <c r="F832" t="s">
        <v>89</v>
      </c>
      <c r="G832" t="s">
        <v>36</v>
      </c>
      <c r="H832">
        <v>57800.31</v>
      </c>
      <c r="I832">
        <v>3</v>
      </c>
      <c r="J832" t="s">
        <v>28</v>
      </c>
      <c r="K832" t="s">
        <v>44</v>
      </c>
      <c r="L832" t="s">
        <v>21</v>
      </c>
      <c r="M832" t="s">
        <v>31</v>
      </c>
    </row>
    <row r="833" spans="1:13" x14ac:dyDescent="0.3">
      <c r="A833" t="s">
        <v>1303</v>
      </c>
      <c r="B833" t="s">
        <v>1304</v>
      </c>
      <c r="C833">
        <v>89</v>
      </c>
      <c r="D833" t="s">
        <v>15</v>
      </c>
      <c r="E833" t="s">
        <v>117</v>
      </c>
      <c r="F833" t="s">
        <v>61</v>
      </c>
      <c r="G833" t="s">
        <v>54</v>
      </c>
      <c r="H833">
        <v>31045.03</v>
      </c>
      <c r="I833">
        <v>13</v>
      </c>
      <c r="J833" t="s">
        <v>28</v>
      </c>
      <c r="K833" t="s">
        <v>69</v>
      </c>
      <c r="L833" t="s">
        <v>112</v>
      </c>
      <c r="M833" t="s">
        <v>22</v>
      </c>
    </row>
    <row r="834" spans="1:13" x14ac:dyDescent="0.3">
      <c r="A834" t="s">
        <v>1305</v>
      </c>
      <c r="B834" t="s">
        <v>857</v>
      </c>
      <c r="C834">
        <v>23</v>
      </c>
      <c r="D834" t="s">
        <v>15</v>
      </c>
      <c r="E834" t="s">
        <v>83</v>
      </c>
      <c r="F834" t="s">
        <v>26</v>
      </c>
      <c r="G834" t="s">
        <v>27</v>
      </c>
      <c r="H834">
        <v>10920.49</v>
      </c>
      <c r="I834">
        <v>6</v>
      </c>
      <c r="J834" t="s">
        <v>19</v>
      </c>
      <c r="K834" t="s">
        <v>39</v>
      </c>
      <c r="L834" t="s">
        <v>21</v>
      </c>
      <c r="M834" t="s">
        <v>22</v>
      </c>
    </row>
    <row r="835" spans="1:13" x14ac:dyDescent="0.3">
      <c r="A835" t="s">
        <v>1306</v>
      </c>
      <c r="B835" t="s">
        <v>1050</v>
      </c>
      <c r="C835">
        <v>47</v>
      </c>
      <c r="D835" t="s">
        <v>15</v>
      </c>
      <c r="E835" t="s">
        <v>83</v>
      </c>
      <c r="F835" t="s">
        <v>89</v>
      </c>
      <c r="G835" t="s">
        <v>18</v>
      </c>
      <c r="H835">
        <v>28545.75</v>
      </c>
      <c r="I835">
        <v>7</v>
      </c>
      <c r="J835" t="s">
        <v>19</v>
      </c>
      <c r="K835" t="s">
        <v>20</v>
      </c>
      <c r="L835" t="s">
        <v>112</v>
      </c>
      <c r="M835" t="s">
        <v>22</v>
      </c>
    </row>
    <row r="836" spans="1:13" x14ac:dyDescent="0.3">
      <c r="A836" t="s">
        <v>1307</v>
      </c>
      <c r="B836" t="s">
        <v>1218</v>
      </c>
      <c r="C836">
        <v>16</v>
      </c>
      <c r="D836" t="s">
        <v>34</v>
      </c>
      <c r="E836" t="s">
        <v>83</v>
      </c>
      <c r="F836" t="s">
        <v>61</v>
      </c>
      <c r="G836" t="s">
        <v>36</v>
      </c>
      <c r="H836">
        <v>52900.68</v>
      </c>
      <c r="I836">
        <v>14</v>
      </c>
      <c r="J836" t="s">
        <v>19</v>
      </c>
      <c r="K836" t="s">
        <v>69</v>
      </c>
      <c r="L836" t="s">
        <v>51</v>
      </c>
      <c r="M836" t="s">
        <v>22</v>
      </c>
    </row>
    <row r="837" spans="1:13" x14ac:dyDescent="0.3">
      <c r="A837" t="s">
        <v>1308</v>
      </c>
      <c r="B837" t="s">
        <v>1309</v>
      </c>
      <c r="C837">
        <v>90</v>
      </c>
      <c r="D837" t="s">
        <v>15</v>
      </c>
      <c r="E837" t="s">
        <v>35</v>
      </c>
      <c r="F837" t="s">
        <v>26</v>
      </c>
      <c r="G837" t="s">
        <v>54</v>
      </c>
      <c r="H837">
        <v>8727.16</v>
      </c>
      <c r="I837">
        <v>4</v>
      </c>
      <c r="J837" t="s">
        <v>28</v>
      </c>
      <c r="K837" t="s">
        <v>44</v>
      </c>
      <c r="L837" t="s">
        <v>30</v>
      </c>
      <c r="M837" t="s">
        <v>22</v>
      </c>
    </row>
    <row r="838" spans="1:13" x14ac:dyDescent="0.3">
      <c r="A838" t="s">
        <v>1310</v>
      </c>
      <c r="B838" t="s">
        <v>715</v>
      </c>
      <c r="C838">
        <v>78</v>
      </c>
      <c r="D838" t="s">
        <v>34</v>
      </c>
      <c r="E838" t="s">
        <v>117</v>
      </c>
      <c r="F838" t="s">
        <v>17</v>
      </c>
      <c r="G838" t="s">
        <v>27</v>
      </c>
      <c r="H838">
        <v>57891.78</v>
      </c>
      <c r="I838">
        <v>4</v>
      </c>
      <c r="J838" t="s">
        <v>28</v>
      </c>
      <c r="K838" t="s">
        <v>39</v>
      </c>
      <c r="L838" t="s">
        <v>112</v>
      </c>
      <c r="M838" t="s">
        <v>22</v>
      </c>
    </row>
    <row r="839" spans="1:13" x14ac:dyDescent="0.3">
      <c r="A839" t="s">
        <v>1311</v>
      </c>
      <c r="B839" t="s">
        <v>457</v>
      </c>
      <c r="C839">
        <v>75</v>
      </c>
      <c r="D839" t="s">
        <v>34</v>
      </c>
      <c r="E839" t="s">
        <v>35</v>
      </c>
      <c r="F839" t="s">
        <v>26</v>
      </c>
      <c r="G839" t="s">
        <v>27</v>
      </c>
      <c r="H839">
        <v>59643.199999999997</v>
      </c>
      <c r="I839">
        <v>14</v>
      </c>
      <c r="J839" t="s">
        <v>19</v>
      </c>
      <c r="K839" t="s">
        <v>74</v>
      </c>
      <c r="L839" t="s">
        <v>30</v>
      </c>
      <c r="M839" t="s">
        <v>31</v>
      </c>
    </row>
    <row r="840" spans="1:13" x14ac:dyDescent="0.3">
      <c r="A840" t="s">
        <v>1312</v>
      </c>
      <c r="B840" t="s">
        <v>741</v>
      </c>
      <c r="C840">
        <v>77</v>
      </c>
      <c r="D840" t="s">
        <v>15</v>
      </c>
      <c r="E840" t="s">
        <v>83</v>
      </c>
      <c r="F840" t="s">
        <v>26</v>
      </c>
      <c r="G840" t="s">
        <v>80</v>
      </c>
      <c r="H840">
        <v>62714.13</v>
      </c>
      <c r="I840">
        <v>5</v>
      </c>
      <c r="J840" t="s">
        <v>28</v>
      </c>
      <c r="K840" t="s">
        <v>50</v>
      </c>
      <c r="L840" t="s">
        <v>45</v>
      </c>
      <c r="M840" t="s">
        <v>31</v>
      </c>
    </row>
    <row r="841" spans="1:13" x14ac:dyDescent="0.3">
      <c r="A841" t="s">
        <v>1313</v>
      </c>
      <c r="B841" t="s">
        <v>675</v>
      </c>
      <c r="C841">
        <v>35</v>
      </c>
      <c r="D841" t="s">
        <v>15</v>
      </c>
      <c r="E841" t="s">
        <v>83</v>
      </c>
      <c r="F841" t="s">
        <v>61</v>
      </c>
      <c r="G841" t="s">
        <v>27</v>
      </c>
      <c r="H841">
        <v>62141.64</v>
      </c>
      <c r="I841">
        <v>1</v>
      </c>
      <c r="J841" t="s">
        <v>19</v>
      </c>
      <c r="K841" t="s">
        <v>50</v>
      </c>
      <c r="L841" t="s">
        <v>40</v>
      </c>
      <c r="M841" t="s">
        <v>58</v>
      </c>
    </row>
    <row r="842" spans="1:13" x14ac:dyDescent="0.3">
      <c r="A842" t="s">
        <v>1314</v>
      </c>
      <c r="B842" t="s">
        <v>847</v>
      </c>
      <c r="C842">
        <v>79</v>
      </c>
      <c r="D842" t="s">
        <v>15</v>
      </c>
      <c r="E842" t="s">
        <v>16</v>
      </c>
      <c r="F842" t="s">
        <v>61</v>
      </c>
      <c r="G842" t="s">
        <v>18</v>
      </c>
      <c r="H842">
        <v>27974.44</v>
      </c>
      <c r="I842">
        <v>6</v>
      </c>
      <c r="J842" t="s">
        <v>28</v>
      </c>
      <c r="K842" t="s">
        <v>69</v>
      </c>
      <c r="L842" t="s">
        <v>40</v>
      </c>
      <c r="M842" t="s">
        <v>22</v>
      </c>
    </row>
    <row r="843" spans="1:13" x14ac:dyDescent="0.3">
      <c r="A843" t="s">
        <v>1315</v>
      </c>
      <c r="B843" t="s">
        <v>248</v>
      </c>
      <c r="C843">
        <v>3</v>
      </c>
      <c r="D843" t="s">
        <v>15</v>
      </c>
      <c r="E843" t="s">
        <v>64</v>
      </c>
      <c r="F843" t="s">
        <v>84</v>
      </c>
      <c r="G843" t="s">
        <v>54</v>
      </c>
      <c r="H843">
        <v>146672.22</v>
      </c>
      <c r="I843">
        <v>18</v>
      </c>
      <c r="J843" t="s">
        <v>19</v>
      </c>
      <c r="K843" t="s">
        <v>29</v>
      </c>
      <c r="L843" t="s">
        <v>112</v>
      </c>
      <c r="M843" t="s">
        <v>31</v>
      </c>
    </row>
    <row r="844" spans="1:13" x14ac:dyDescent="0.3">
      <c r="A844" t="s">
        <v>1316</v>
      </c>
      <c r="B844" t="s">
        <v>1317</v>
      </c>
      <c r="C844">
        <v>18</v>
      </c>
      <c r="D844" t="s">
        <v>34</v>
      </c>
      <c r="E844" t="s">
        <v>16</v>
      </c>
      <c r="F844" t="s">
        <v>79</v>
      </c>
      <c r="G844" t="s">
        <v>43</v>
      </c>
      <c r="H844">
        <v>144577.16</v>
      </c>
      <c r="I844">
        <v>19</v>
      </c>
      <c r="J844" t="s">
        <v>28</v>
      </c>
      <c r="K844" t="s">
        <v>39</v>
      </c>
      <c r="L844" t="s">
        <v>51</v>
      </c>
      <c r="M844" t="s">
        <v>58</v>
      </c>
    </row>
    <row r="845" spans="1:13" x14ac:dyDescent="0.3">
      <c r="A845" t="s">
        <v>1318</v>
      </c>
      <c r="B845" t="s">
        <v>1319</v>
      </c>
      <c r="C845">
        <v>82</v>
      </c>
      <c r="D845" t="s">
        <v>34</v>
      </c>
      <c r="E845" t="s">
        <v>25</v>
      </c>
      <c r="F845" t="s">
        <v>89</v>
      </c>
      <c r="G845" t="s">
        <v>27</v>
      </c>
      <c r="H845">
        <v>120985.22</v>
      </c>
      <c r="I845">
        <v>15</v>
      </c>
      <c r="J845" t="s">
        <v>19</v>
      </c>
      <c r="K845" t="s">
        <v>20</v>
      </c>
      <c r="L845" t="s">
        <v>30</v>
      </c>
      <c r="M845" t="s">
        <v>22</v>
      </c>
    </row>
    <row r="846" spans="1:13" x14ac:dyDescent="0.3">
      <c r="A846" t="s">
        <v>1320</v>
      </c>
      <c r="B846" t="s">
        <v>452</v>
      </c>
      <c r="C846">
        <v>51</v>
      </c>
      <c r="D846" t="s">
        <v>34</v>
      </c>
      <c r="E846" t="s">
        <v>117</v>
      </c>
      <c r="F846" t="s">
        <v>79</v>
      </c>
      <c r="G846" t="s">
        <v>54</v>
      </c>
      <c r="H846">
        <v>129944.63</v>
      </c>
      <c r="I846">
        <v>16</v>
      </c>
      <c r="J846" t="s">
        <v>28</v>
      </c>
      <c r="K846" t="s">
        <v>44</v>
      </c>
      <c r="L846" t="s">
        <v>51</v>
      </c>
      <c r="M846" t="s">
        <v>31</v>
      </c>
    </row>
    <row r="847" spans="1:13" x14ac:dyDescent="0.3">
      <c r="A847" t="s">
        <v>1321</v>
      </c>
      <c r="B847" t="s">
        <v>1322</v>
      </c>
      <c r="C847">
        <v>47</v>
      </c>
      <c r="D847" t="s">
        <v>34</v>
      </c>
      <c r="E847" t="s">
        <v>25</v>
      </c>
      <c r="F847" t="s">
        <v>17</v>
      </c>
      <c r="G847" t="s">
        <v>54</v>
      </c>
      <c r="H847">
        <v>57613.57</v>
      </c>
      <c r="I847">
        <v>18</v>
      </c>
      <c r="J847" t="s">
        <v>19</v>
      </c>
      <c r="K847" t="s">
        <v>44</v>
      </c>
      <c r="L847" t="s">
        <v>40</v>
      </c>
      <c r="M847" t="s">
        <v>22</v>
      </c>
    </row>
    <row r="848" spans="1:13" x14ac:dyDescent="0.3">
      <c r="A848" t="s">
        <v>1323</v>
      </c>
      <c r="B848" t="s">
        <v>1218</v>
      </c>
      <c r="C848">
        <v>57</v>
      </c>
      <c r="D848" t="s">
        <v>34</v>
      </c>
      <c r="E848" t="s">
        <v>16</v>
      </c>
      <c r="F848" t="s">
        <v>17</v>
      </c>
      <c r="G848" t="s">
        <v>43</v>
      </c>
      <c r="H848">
        <v>130464.09</v>
      </c>
      <c r="I848">
        <v>2</v>
      </c>
      <c r="J848" t="s">
        <v>19</v>
      </c>
      <c r="K848" t="s">
        <v>50</v>
      </c>
      <c r="L848" t="s">
        <v>30</v>
      </c>
      <c r="M848" t="s">
        <v>31</v>
      </c>
    </row>
    <row r="849" spans="1:13" x14ac:dyDescent="0.3">
      <c r="A849" t="s">
        <v>1324</v>
      </c>
      <c r="B849" t="s">
        <v>168</v>
      </c>
      <c r="C849">
        <v>77</v>
      </c>
      <c r="D849" t="s">
        <v>34</v>
      </c>
      <c r="E849" t="s">
        <v>83</v>
      </c>
      <c r="F849" t="s">
        <v>61</v>
      </c>
      <c r="G849" t="s">
        <v>18</v>
      </c>
      <c r="H849">
        <v>7021.09</v>
      </c>
      <c r="I849">
        <v>2</v>
      </c>
      <c r="J849" t="s">
        <v>19</v>
      </c>
      <c r="K849" t="s">
        <v>20</v>
      </c>
      <c r="L849" t="s">
        <v>21</v>
      </c>
      <c r="M849" t="s">
        <v>31</v>
      </c>
    </row>
    <row r="850" spans="1:13" x14ac:dyDescent="0.3">
      <c r="A850" t="s">
        <v>1325</v>
      </c>
      <c r="B850" t="s">
        <v>251</v>
      </c>
      <c r="C850">
        <v>57</v>
      </c>
      <c r="D850" t="s">
        <v>34</v>
      </c>
      <c r="E850" t="s">
        <v>25</v>
      </c>
      <c r="F850" t="s">
        <v>89</v>
      </c>
      <c r="G850" t="s">
        <v>36</v>
      </c>
      <c r="H850">
        <v>79882.490000000005</v>
      </c>
      <c r="I850">
        <v>18</v>
      </c>
      <c r="J850" t="s">
        <v>28</v>
      </c>
      <c r="K850" t="s">
        <v>50</v>
      </c>
      <c r="L850" t="s">
        <v>21</v>
      </c>
      <c r="M850" t="s">
        <v>31</v>
      </c>
    </row>
    <row r="851" spans="1:13" x14ac:dyDescent="0.3">
      <c r="A851" t="s">
        <v>1326</v>
      </c>
      <c r="B851" t="s">
        <v>33</v>
      </c>
      <c r="C851">
        <v>80</v>
      </c>
      <c r="D851" t="s">
        <v>15</v>
      </c>
      <c r="E851" t="s">
        <v>25</v>
      </c>
      <c r="F851" t="s">
        <v>61</v>
      </c>
      <c r="G851" t="s">
        <v>36</v>
      </c>
      <c r="H851">
        <v>81372.320000000007</v>
      </c>
      <c r="I851">
        <v>6</v>
      </c>
      <c r="J851" t="s">
        <v>19</v>
      </c>
      <c r="K851" t="s">
        <v>39</v>
      </c>
      <c r="L851" t="s">
        <v>112</v>
      </c>
      <c r="M851" t="s">
        <v>31</v>
      </c>
    </row>
    <row r="852" spans="1:13" x14ac:dyDescent="0.3">
      <c r="A852" t="s">
        <v>1327</v>
      </c>
      <c r="B852" t="s">
        <v>385</v>
      </c>
      <c r="C852">
        <v>15</v>
      </c>
      <c r="D852" t="s">
        <v>15</v>
      </c>
      <c r="E852" t="s">
        <v>117</v>
      </c>
      <c r="F852" t="s">
        <v>79</v>
      </c>
      <c r="G852" t="s">
        <v>54</v>
      </c>
      <c r="H852">
        <v>47793.9</v>
      </c>
      <c r="I852">
        <v>19</v>
      </c>
      <c r="J852" t="s">
        <v>28</v>
      </c>
      <c r="K852" t="s">
        <v>39</v>
      </c>
      <c r="L852" t="s">
        <v>30</v>
      </c>
      <c r="M852" t="s">
        <v>58</v>
      </c>
    </row>
    <row r="853" spans="1:13" x14ac:dyDescent="0.3">
      <c r="A853" t="s">
        <v>1328</v>
      </c>
      <c r="B853" t="s">
        <v>390</v>
      </c>
      <c r="C853">
        <v>24</v>
      </c>
      <c r="D853" t="s">
        <v>34</v>
      </c>
      <c r="E853" t="s">
        <v>117</v>
      </c>
      <c r="F853" t="s">
        <v>61</v>
      </c>
      <c r="G853" t="s">
        <v>43</v>
      </c>
      <c r="H853">
        <v>62379.81</v>
      </c>
      <c r="I853">
        <v>20</v>
      </c>
      <c r="J853" t="s">
        <v>19</v>
      </c>
      <c r="K853" t="s">
        <v>39</v>
      </c>
      <c r="L853" t="s">
        <v>51</v>
      </c>
      <c r="M853" t="s">
        <v>22</v>
      </c>
    </row>
    <row r="854" spans="1:13" x14ac:dyDescent="0.3">
      <c r="A854" t="s">
        <v>1329</v>
      </c>
      <c r="B854" t="s">
        <v>1129</v>
      </c>
      <c r="C854">
        <v>74</v>
      </c>
      <c r="D854" t="s">
        <v>34</v>
      </c>
      <c r="E854" t="s">
        <v>35</v>
      </c>
      <c r="F854" t="s">
        <v>26</v>
      </c>
      <c r="G854" t="s">
        <v>80</v>
      </c>
      <c r="H854">
        <v>92180.42</v>
      </c>
      <c r="I854">
        <v>4</v>
      </c>
      <c r="J854" t="s">
        <v>19</v>
      </c>
      <c r="K854" t="s">
        <v>20</v>
      </c>
      <c r="L854" t="s">
        <v>40</v>
      </c>
      <c r="M854" t="s">
        <v>22</v>
      </c>
    </row>
    <row r="855" spans="1:13" x14ac:dyDescent="0.3">
      <c r="A855" t="s">
        <v>1330</v>
      </c>
      <c r="B855" t="s">
        <v>194</v>
      </c>
      <c r="C855">
        <v>4</v>
      </c>
      <c r="D855" t="s">
        <v>15</v>
      </c>
      <c r="E855" t="s">
        <v>35</v>
      </c>
      <c r="F855" t="s">
        <v>84</v>
      </c>
      <c r="G855" t="s">
        <v>27</v>
      </c>
      <c r="H855">
        <v>20102.89</v>
      </c>
      <c r="I855">
        <v>15</v>
      </c>
      <c r="J855" t="s">
        <v>19</v>
      </c>
      <c r="K855" t="s">
        <v>29</v>
      </c>
      <c r="L855" t="s">
        <v>45</v>
      </c>
      <c r="M855" t="s">
        <v>58</v>
      </c>
    </row>
    <row r="856" spans="1:13" x14ac:dyDescent="0.3">
      <c r="A856" t="s">
        <v>1331</v>
      </c>
      <c r="B856" t="s">
        <v>1332</v>
      </c>
      <c r="C856">
        <v>29</v>
      </c>
      <c r="D856" t="s">
        <v>15</v>
      </c>
      <c r="E856" t="s">
        <v>16</v>
      </c>
      <c r="F856" t="s">
        <v>17</v>
      </c>
      <c r="G856" t="s">
        <v>54</v>
      </c>
      <c r="H856">
        <v>66109.37</v>
      </c>
      <c r="I856">
        <v>17</v>
      </c>
      <c r="J856" t="s">
        <v>19</v>
      </c>
      <c r="K856" t="s">
        <v>69</v>
      </c>
      <c r="L856" t="s">
        <v>112</v>
      </c>
      <c r="M856" t="s">
        <v>31</v>
      </c>
    </row>
    <row r="857" spans="1:13" x14ac:dyDescent="0.3">
      <c r="A857" t="s">
        <v>1333</v>
      </c>
      <c r="B857" t="s">
        <v>1114</v>
      </c>
      <c r="C857">
        <v>77</v>
      </c>
      <c r="D857" t="s">
        <v>34</v>
      </c>
      <c r="E857" t="s">
        <v>64</v>
      </c>
      <c r="F857" t="s">
        <v>79</v>
      </c>
      <c r="G857" t="s">
        <v>18</v>
      </c>
      <c r="H857">
        <v>22678.19</v>
      </c>
      <c r="I857">
        <v>19</v>
      </c>
      <c r="J857" t="s">
        <v>28</v>
      </c>
      <c r="K857" t="s">
        <v>55</v>
      </c>
      <c r="L857" t="s">
        <v>30</v>
      </c>
      <c r="M857" t="s">
        <v>22</v>
      </c>
    </row>
    <row r="858" spans="1:13" x14ac:dyDescent="0.3">
      <c r="A858" t="s">
        <v>1334</v>
      </c>
      <c r="B858" t="s">
        <v>272</v>
      </c>
      <c r="C858">
        <v>50</v>
      </c>
      <c r="D858" t="s">
        <v>15</v>
      </c>
      <c r="E858" t="s">
        <v>25</v>
      </c>
      <c r="F858" t="s">
        <v>26</v>
      </c>
      <c r="G858" t="s">
        <v>36</v>
      </c>
      <c r="H858">
        <v>135010.28</v>
      </c>
      <c r="I858">
        <v>11</v>
      </c>
      <c r="J858" t="s">
        <v>28</v>
      </c>
      <c r="K858" t="s">
        <v>39</v>
      </c>
      <c r="L858" t="s">
        <v>40</v>
      </c>
      <c r="M858" t="s">
        <v>31</v>
      </c>
    </row>
    <row r="859" spans="1:13" x14ac:dyDescent="0.3">
      <c r="A859" t="s">
        <v>1335</v>
      </c>
      <c r="B859" t="s">
        <v>1241</v>
      </c>
      <c r="C859">
        <v>39</v>
      </c>
      <c r="D859" t="s">
        <v>15</v>
      </c>
      <c r="E859" t="s">
        <v>25</v>
      </c>
      <c r="F859" t="s">
        <v>61</v>
      </c>
      <c r="G859" t="s">
        <v>43</v>
      </c>
      <c r="H859">
        <v>56866.26</v>
      </c>
      <c r="I859">
        <v>10</v>
      </c>
      <c r="J859" t="s">
        <v>28</v>
      </c>
      <c r="K859" t="s">
        <v>20</v>
      </c>
      <c r="L859" t="s">
        <v>30</v>
      </c>
      <c r="M859" t="s">
        <v>22</v>
      </c>
    </row>
    <row r="860" spans="1:13" x14ac:dyDescent="0.3">
      <c r="A860" t="s">
        <v>1336</v>
      </c>
      <c r="B860" t="s">
        <v>560</v>
      </c>
      <c r="C860">
        <v>26</v>
      </c>
      <c r="D860" t="s">
        <v>34</v>
      </c>
      <c r="E860" t="s">
        <v>25</v>
      </c>
      <c r="F860" t="s">
        <v>61</v>
      </c>
      <c r="G860" t="s">
        <v>54</v>
      </c>
      <c r="H860">
        <v>71696.679999999993</v>
      </c>
      <c r="I860">
        <v>10</v>
      </c>
      <c r="J860" t="s">
        <v>28</v>
      </c>
      <c r="K860" t="s">
        <v>69</v>
      </c>
      <c r="L860" t="s">
        <v>40</v>
      </c>
      <c r="M860" t="s">
        <v>22</v>
      </c>
    </row>
    <row r="861" spans="1:13" x14ac:dyDescent="0.3">
      <c r="A861" t="s">
        <v>1337</v>
      </c>
      <c r="B861" t="s">
        <v>1338</v>
      </c>
      <c r="C861">
        <v>56</v>
      </c>
      <c r="D861" t="s">
        <v>34</v>
      </c>
      <c r="E861" t="s">
        <v>35</v>
      </c>
      <c r="F861" t="s">
        <v>79</v>
      </c>
      <c r="G861" t="s">
        <v>43</v>
      </c>
      <c r="H861">
        <v>74334.720000000001</v>
      </c>
      <c r="I861">
        <v>10</v>
      </c>
      <c r="J861" t="s">
        <v>28</v>
      </c>
      <c r="K861" t="s">
        <v>55</v>
      </c>
      <c r="L861" t="s">
        <v>21</v>
      </c>
      <c r="M861" t="s">
        <v>22</v>
      </c>
    </row>
    <row r="862" spans="1:13" x14ac:dyDescent="0.3">
      <c r="A862" t="s">
        <v>1339</v>
      </c>
      <c r="B862" t="s">
        <v>1216</v>
      </c>
      <c r="C862">
        <v>90</v>
      </c>
      <c r="D862" t="s">
        <v>15</v>
      </c>
      <c r="E862" t="s">
        <v>25</v>
      </c>
      <c r="F862" t="s">
        <v>26</v>
      </c>
      <c r="G862" t="s">
        <v>80</v>
      </c>
      <c r="H862">
        <v>134111.84</v>
      </c>
      <c r="I862">
        <v>2</v>
      </c>
      <c r="J862" t="s">
        <v>28</v>
      </c>
      <c r="K862" t="s">
        <v>50</v>
      </c>
      <c r="L862" t="s">
        <v>112</v>
      </c>
      <c r="M862" t="s">
        <v>58</v>
      </c>
    </row>
    <row r="863" spans="1:13" x14ac:dyDescent="0.3">
      <c r="A863" t="s">
        <v>1340</v>
      </c>
      <c r="B863" t="s">
        <v>886</v>
      </c>
      <c r="C863">
        <v>85</v>
      </c>
      <c r="D863" t="s">
        <v>15</v>
      </c>
      <c r="E863" t="s">
        <v>64</v>
      </c>
      <c r="F863" t="s">
        <v>79</v>
      </c>
      <c r="G863" t="s">
        <v>27</v>
      </c>
      <c r="H863">
        <v>107547.37</v>
      </c>
      <c r="I863">
        <v>5</v>
      </c>
      <c r="J863" t="s">
        <v>28</v>
      </c>
      <c r="K863" t="s">
        <v>50</v>
      </c>
      <c r="L863" t="s">
        <v>51</v>
      </c>
      <c r="M863" t="s">
        <v>22</v>
      </c>
    </row>
    <row r="864" spans="1:13" x14ac:dyDescent="0.3">
      <c r="A864" t="s">
        <v>1341</v>
      </c>
      <c r="B864" t="s">
        <v>99</v>
      </c>
      <c r="C864">
        <v>64</v>
      </c>
      <c r="D864" t="s">
        <v>15</v>
      </c>
      <c r="E864" t="s">
        <v>35</v>
      </c>
      <c r="F864" t="s">
        <v>17</v>
      </c>
      <c r="G864" t="s">
        <v>43</v>
      </c>
      <c r="H864">
        <v>68094.11</v>
      </c>
      <c r="I864">
        <v>6</v>
      </c>
      <c r="J864" t="s">
        <v>19</v>
      </c>
      <c r="K864" t="s">
        <v>69</v>
      </c>
      <c r="L864" t="s">
        <v>51</v>
      </c>
      <c r="M864" t="s">
        <v>22</v>
      </c>
    </row>
    <row r="865" spans="1:13" x14ac:dyDescent="0.3">
      <c r="A865" t="s">
        <v>1342</v>
      </c>
      <c r="B865" t="s">
        <v>76</v>
      </c>
      <c r="C865">
        <v>52</v>
      </c>
      <c r="D865" t="s">
        <v>15</v>
      </c>
      <c r="E865" t="s">
        <v>35</v>
      </c>
      <c r="F865" t="s">
        <v>26</v>
      </c>
      <c r="G865" t="s">
        <v>18</v>
      </c>
      <c r="H865">
        <v>8272.41</v>
      </c>
      <c r="I865">
        <v>11</v>
      </c>
      <c r="J865" t="s">
        <v>19</v>
      </c>
      <c r="K865" t="s">
        <v>39</v>
      </c>
      <c r="L865" t="s">
        <v>51</v>
      </c>
      <c r="M865" t="s">
        <v>31</v>
      </c>
    </row>
    <row r="866" spans="1:13" x14ac:dyDescent="0.3">
      <c r="A866" t="s">
        <v>1343</v>
      </c>
      <c r="B866" t="s">
        <v>1344</v>
      </c>
      <c r="C866">
        <v>15</v>
      </c>
      <c r="D866" t="s">
        <v>34</v>
      </c>
      <c r="E866" t="s">
        <v>16</v>
      </c>
      <c r="F866" t="s">
        <v>61</v>
      </c>
      <c r="G866" t="s">
        <v>43</v>
      </c>
      <c r="H866">
        <v>63150.66</v>
      </c>
      <c r="I866">
        <v>17</v>
      </c>
      <c r="J866" t="s">
        <v>19</v>
      </c>
      <c r="K866" t="s">
        <v>69</v>
      </c>
      <c r="L866" t="s">
        <v>21</v>
      </c>
      <c r="M866" t="s">
        <v>31</v>
      </c>
    </row>
    <row r="867" spans="1:13" x14ac:dyDescent="0.3">
      <c r="A867" t="s">
        <v>1345</v>
      </c>
      <c r="B867" t="s">
        <v>729</v>
      </c>
      <c r="C867">
        <v>43</v>
      </c>
      <c r="D867" t="s">
        <v>34</v>
      </c>
      <c r="E867" t="s">
        <v>16</v>
      </c>
      <c r="F867" t="s">
        <v>79</v>
      </c>
      <c r="G867" t="s">
        <v>43</v>
      </c>
      <c r="H867">
        <v>72480.88</v>
      </c>
      <c r="I867">
        <v>2</v>
      </c>
      <c r="J867" t="s">
        <v>28</v>
      </c>
      <c r="K867" t="s">
        <v>55</v>
      </c>
      <c r="L867" t="s">
        <v>51</v>
      </c>
      <c r="M867" t="s">
        <v>22</v>
      </c>
    </row>
    <row r="868" spans="1:13" x14ac:dyDescent="0.3">
      <c r="A868" t="s">
        <v>1346</v>
      </c>
      <c r="B868" t="s">
        <v>1347</v>
      </c>
      <c r="C868">
        <v>11</v>
      </c>
      <c r="D868" t="s">
        <v>15</v>
      </c>
      <c r="E868" t="s">
        <v>117</v>
      </c>
      <c r="F868" t="s">
        <v>61</v>
      </c>
      <c r="G868" t="s">
        <v>36</v>
      </c>
      <c r="H868">
        <v>120379.66</v>
      </c>
      <c r="I868">
        <v>12</v>
      </c>
      <c r="J868" t="s">
        <v>28</v>
      </c>
      <c r="K868" t="s">
        <v>50</v>
      </c>
      <c r="L868" t="s">
        <v>51</v>
      </c>
      <c r="M868" t="s">
        <v>31</v>
      </c>
    </row>
    <row r="869" spans="1:13" x14ac:dyDescent="0.3">
      <c r="A869" t="s">
        <v>1348</v>
      </c>
      <c r="B869" t="s">
        <v>997</v>
      </c>
      <c r="C869">
        <v>18</v>
      </c>
      <c r="D869" t="s">
        <v>34</v>
      </c>
      <c r="E869" t="s">
        <v>25</v>
      </c>
      <c r="F869" t="s">
        <v>26</v>
      </c>
      <c r="G869" t="s">
        <v>43</v>
      </c>
      <c r="H869">
        <v>40318.160000000003</v>
      </c>
      <c r="I869">
        <v>17</v>
      </c>
      <c r="J869" t="s">
        <v>28</v>
      </c>
      <c r="K869" t="s">
        <v>39</v>
      </c>
      <c r="L869" t="s">
        <v>51</v>
      </c>
      <c r="M869" t="s">
        <v>58</v>
      </c>
    </row>
    <row r="870" spans="1:13" x14ac:dyDescent="0.3">
      <c r="A870" t="s">
        <v>1349</v>
      </c>
      <c r="B870" t="s">
        <v>721</v>
      </c>
      <c r="C870">
        <v>20</v>
      </c>
      <c r="D870" t="s">
        <v>15</v>
      </c>
      <c r="E870" t="s">
        <v>16</v>
      </c>
      <c r="F870" t="s">
        <v>89</v>
      </c>
      <c r="G870" t="s">
        <v>54</v>
      </c>
      <c r="H870">
        <v>99606.69</v>
      </c>
      <c r="I870">
        <v>12</v>
      </c>
      <c r="J870" t="s">
        <v>28</v>
      </c>
      <c r="K870" t="s">
        <v>39</v>
      </c>
      <c r="L870" t="s">
        <v>21</v>
      </c>
      <c r="M870" t="s">
        <v>58</v>
      </c>
    </row>
    <row r="871" spans="1:13" x14ac:dyDescent="0.3">
      <c r="A871" t="s">
        <v>1350</v>
      </c>
      <c r="B871" t="s">
        <v>942</v>
      </c>
      <c r="C871">
        <v>54</v>
      </c>
      <c r="D871" t="s">
        <v>34</v>
      </c>
      <c r="E871" t="s">
        <v>117</v>
      </c>
      <c r="F871" t="s">
        <v>89</v>
      </c>
      <c r="G871" t="s">
        <v>27</v>
      </c>
      <c r="H871">
        <v>2172.4899999999998</v>
      </c>
      <c r="I871">
        <v>7</v>
      </c>
      <c r="J871" t="s">
        <v>28</v>
      </c>
      <c r="K871" t="s">
        <v>39</v>
      </c>
      <c r="L871" t="s">
        <v>40</v>
      </c>
      <c r="M871" t="s">
        <v>22</v>
      </c>
    </row>
    <row r="872" spans="1:13" x14ac:dyDescent="0.3">
      <c r="A872" t="s">
        <v>1351</v>
      </c>
      <c r="B872" t="s">
        <v>93</v>
      </c>
      <c r="C872">
        <v>52</v>
      </c>
      <c r="D872" t="s">
        <v>15</v>
      </c>
      <c r="E872" t="s">
        <v>25</v>
      </c>
      <c r="F872" t="s">
        <v>26</v>
      </c>
      <c r="G872" t="s">
        <v>36</v>
      </c>
      <c r="H872">
        <v>105333.68</v>
      </c>
      <c r="I872">
        <v>19</v>
      </c>
      <c r="J872" t="s">
        <v>19</v>
      </c>
      <c r="K872" t="s">
        <v>39</v>
      </c>
      <c r="L872" t="s">
        <v>112</v>
      </c>
      <c r="M872" t="s">
        <v>31</v>
      </c>
    </row>
    <row r="873" spans="1:13" x14ac:dyDescent="0.3">
      <c r="A873" t="s">
        <v>1352</v>
      </c>
      <c r="B873" t="s">
        <v>715</v>
      </c>
      <c r="C873">
        <v>45</v>
      </c>
      <c r="D873" t="s">
        <v>15</v>
      </c>
      <c r="E873" t="s">
        <v>16</v>
      </c>
      <c r="F873" t="s">
        <v>79</v>
      </c>
      <c r="G873" t="s">
        <v>80</v>
      </c>
      <c r="H873">
        <v>87258.25</v>
      </c>
      <c r="I873">
        <v>4</v>
      </c>
      <c r="J873" t="s">
        <v>19</v>
      </c>
      <c r="K873" t="s">
        <v>74</v>
      </c>
      <c r="L873" t="s">
        <v>112</v>
      </c>
      <c r="M873" t="s">
        <v>22</v>
      </c>
    </row>
    <row r="874" spans="1:13" x14ac:dyDescent="0.3">
      <c r="A874" t="s">
        <v>1353</v>
      </c>
      <c r="B874" t="s">
        <v>527</v>
      </c>
      <c r="C874">
        <v>64</v>
      </c>
      <c r="D874" t="s">
        <v>34</v>
      </c>
      <c r="E874" t="s">
        <v>83</v>
      </c>
      <c r="F874" t="s">
        <v>26</v>
      </c>
      <c r="G874" t="s">
        <v>27</v>
      </c>
      <c r="H874">
        <v>110006.06</v>
      </c>
      <c r="I874">
        <v>1</v>
      </c>
      <c r="J874" t="s">
        <v>19</v>
      </c>
      <c r="K874" t="s">
        <v>20</v>
      </c>
      <c r="L874" t="s">
        <v>40</v>
      </c>
      <c r="M874" t="s">
        <v>31</v>
      </c>
    </row>
    <row r="875" spans="1:13" x14ac:dyDescent="0.3">
      <c r="A875" t="s">
        <v>1354</v>
      </c>
      <c r="B875" t="s">
        <v>1008</v>
      </c>
      <c r="C875">
        <v>81</v>
      </c>
      <c r="D875" t="s">
        <v>15</v>
      </c>
      <c r="E875" t="s">
        <v>64</v>
      </c>
      <c r="F875" t="s">
        <v>17</v>
      </c>
      <c r="G875" t="s">
        <v>18</v>
      </c>
      <c r="H875">
        <v>46134.16</v>
      </c>
      <c r="I875">
        <v>8</v>
      </c>
      <c r="J875" t="s">
        <v>19</v>
      </c>
      <c r="K875" t="s">
        <v>39</v>
      </c>
      <c r="L875" t="s">
        <v>45</v>
      </c>
      <c r="M875" t="s">
        <v>58</v>
      </c>
    </row>
    <row r="876" spans="1:13" x14ac:dyDescent="0.3">
      <c r="A876" t="s">
        <v>1355</v>
      </c>
      <c r="B876" t="s">
        <v>1201</v>
      </c>
      <c r="C876">
        <v>8</v>
      </c>
      <c r="D876" t="s">
        <v>15</v>
      </c>
      <c r="E876" t="s">
        <v>64</v>
      </c>
      <c r="F876" t="s">
        <v>61</v>
      </c>
      <c r="G876" t="s">
        <v>36</v>
      </c>
      <c r="H876">
        <v>19832.71</v>
      </c>
      <c r="I876">
        <v>7</v>
      </c>
      <c r="J876" t="s">
        <v>28</v>
      </c>
      <c r="K876" t="s">
        <v>20</v>
      </c>
      <c r="L876" t="s">
        <v>112</v>
      </c>
      <c r="M876" t="s">
        <v>58</v>
      </c>
    </row>
    <row r="877" spans="1:13" x14ac:dyDescent="0.3">
      <c r="A877" t="s">
        <v>1356</v>
      </c>
      <c r="B877" t="s">
        <v>1357</v>
      </c>
      <c r="C877">
        <v>3</v>
      </c>
      <c r="D877" t="s">
        <v>15</v>
      </c>
      <c r="E877" t="s">
        <v>16</v>
      </c>
      <c r="F877" t="s">
        <v>79</v>
      </c>
      <c r="G877" t="s">
        <v>36</v>
      </c>
      <c r="H877">
        <v>141376.63</v>
      </c>
      <c r="I877">
        <v>17</v>
      </c>
      <c r="J877" t="s">
        <v>28</v>
      </c>
      <c r="K877" t="s">
        <v>39</v>
      </c>
      <c r="L877" t="s">
        <v>40</v>
      </c>
      <c r="M877" t="s">
        <v>22</v>
      </c>
    </row>
    <row r="878" spans="1:13" x14ac:dyDescent="0.3">
      <c r="A878" t="s">
        <v>1358</v>
      </c>
      <c r="B878" t="s">
        <v>1194</v>
      </c>
      <c r="C878">
        <v>8</v>
      </c>
      <c r="D878" t="s">
        <v>15</v>
      </c>
      <c r="E878" t="s">
        <v>35</v>
      </c>
      <c r="F878" t="s">
        <v>61</v>
      </c>
      <c r="G878" t="s">
        <v>18</v>
      </c>
      <c r="H878">
        <v>87533.14</v>
      </c>
      <c r="I878">
        <v>7</v>
      </c>
      <c r="J878" t="s">
        <v>19</v>
      </c>
      <c r="K878" t="s">
        <v>20</v>
      </c>
      <c r="L878" t="s">
        <v>30</v>
      </c>
      <c r="M878" t="s">
        <v>58</v>
      </c>
    </row>
    <row r="879" spans="1:13" x14ac:dyDescent="0.3">
      <c r="A879" t="s">
        <v>1359</v>
      </c>
      <c r="B879" t="s">
        <v>42</v>
      </c>
      <c r="C879">
        <v>6</v>
      </c>
      <c r="D879" t="s">
        <v>15</v>
      </c>
      <c r="E879" t="s">
        <v>16</v>
      </c>
      <c r="F879" t="s">
        <v>61</v>
      </c>
      <c r="G879" t="s">
        <v>54</v>
      </c>
      <c r="H879">
        <v>38190.15</v>
      </c>
      <c r="I879">
        <v>7</v>
      </c>
      <c r="J879" t="s">
        <v>28</v>
      </c>
      <c r="K879" t="s">
        <v>20</v>
      </c>
      <c r="L879" t="s">
        <v>45</v>
      </c>
      <c r="M879" t="s">
        <v>22</v>
      </c>
    </row>
    <row r="880" spans="1:13" x14ac:dyDescent="0.3">
      <c r="A880" t="s">
        <v>1360</v>
      </c>
      <c r="B880" t="s">
        <v>1361</v>
      </c>
      <c r="C880">
        <v>53</v>
      </c>
      <c r="D880" t="s">
        <v>34</v>
      </c>
      <c r="E880" t="s">
        <v>25</v>
      </c>
      <c r="F880" t="s">
        <v>79</v>
      </c>
      <c r="G880" t="s">
        <v>80</v>
      </c>
      <c r="H880">
        <v>17669.73</v>
      </c>
      <c r="I880">
        <v>19</v>
      </c>
      <c r="J880" t="s">
        <v>19</v>
      </c>
      <c r="K880" t="s">
        <v>55</v>
      </c>
      <c r="L880" t="s">
        <v>51</v>
      </c>
      <c r="M880" t="s">
        <v>22</v>
      </c>
    </row>
    <row r="881" spans="1:13" x14ac:dyDescent="0.3">
      <c r="A881" t="s">
        <v>1362</v>
      </c>
      <c r="B881" t="s">
        <v>755</v>
      </c>
      <c r="C881">
        <v>23</v>
      </c>
      <c r="D881" t="s">
        <v>34</v>
      </c>
      <c r="E881" t="s">
        <v>25</v>
      </c>
      <c r="F881" t="s">
        <v>61</v>
      </c>
      <c r="G881" t="s">
        <v>18</v>
      </c>
      <c r="H881">
        <v>72117.58</v>
      </c>
      <c r="I881">
        <v>20</v>
      </c>
      <c r="J881" t="s">
        <v>19</v>
      </c>
      <c r="K881" t="s">
        <v>39</v>
      </c>
      <c r="L881" t="s">
        <v>30</v>
      </c>
      <c r="M881" t="s">
        <v>22</v>
      </c>
    </row>
    <row r="882" spans="1:13" x14ac:dyDescent="0.3">
      <c r="A882" t="s">
        <v>1363</v>
      </c>
      <c r="B882" t="s">
        <v>1364</v>
      </c>
      <c r="C882">
        <v>28</v>
      </c>
      <c r="D882" t="s">
        <v>34</v>
      </c>
      <c r="E882" t="s">
        <v>83</v>
      </c>
      <c r="F882" t="s">
        <v>79</v>
      </c>
      <c r="G882" t="s">
        <v>43</v>
      </c>
      <c r="H882">
        <v>105152.16</v>
      </c>
      <c r="I882">
        <v>11</v>
      </c>
      <c r="J882" t="s">
        <v>19</v>
      </c>
      <c r="K882" t="s">
        <v>69</v>
      </c>
      <c r="L882" t="s">
        <v>51</v>
      </c>
      <c r="M882" t="s">
        <v>22</v>
      </c>
    </row>
    <row r="883" spans="1:13" x14ac:dyDescent="0.3">
      <c r="A883" t="s">
        <v>1365</v>
      </c>
      <c r="B883" t="s">
        <v>1338</v>
      </c>
      <c r="C883">
        <v>17</v>
      </c>
      <c r="D883" t="s">
        <v>34</v>
      </c>
      <c r="E883" t="s">
        <v>64</v>
      </c>
      <c r="F883" t="s">
        <v>84</v>
      </c>
      <c r="G883" t="s">
        <v>36</v>
      </c>
      <c r="H883">
        <v>107335.56</v>
      </c>
      <c r="I883">
        <v>4</v>
      </c>
      <c r="J883" t="s">
        <v>19</v>
      </c>
      <c r="K883" t="s">
        <v>39</v>
      </c>
      <c r="L883" t="s">
        <v>51</v>
      </c>
      <c r="M883" t="s">
        <v>31</v>
      </c>
    </row>
    <row r="884" spans="1:13" x14ac:dyDescent="0.3">
      <c r="A884" t="s">
        <v>1366</v>
      </c>
      <c r="B884" t="s">
        <v>387</v>
      </c>
      <c r="C884">
        <v>46</v>
      </c>
      <c r="D884" t="s">
        <v>15</v>
      </c>
      <c r="E884" t="s">
        <v>64</v>
      </c>
      <c r="F884" t="s">
        <v>89</v>
      </c>
      <c r="G884" t="s">
        <v>36</v>
      </c>
      <c r="H884">
        <v>134800.5</v>
      </c>
      <c r="I884">
        <v>9</v>
      </c>
      <c r="J884" t="s">
        <v>28</v>
      </c>
      <c r="K884" t="s">
        <v>69</v>
      </c>
      <c r="L884" t="s">
        <v>51</v>
      </c>
      <c r="M884" t="s">
        <v>58</v>
      </c>
    </row>
    <row r="885" spans="1:13" x14ac:dyDescent="0.3">
      <c r="A885" t="s">
        <v>1367</v>
      </c>
      <c r="B885" t="s">
        <v>1368</v>
      </c>
      <c r="C885">
        <v>8</v>
      </c>
      <c r="D885" t="s">
        <v>34</v>
      </c>
      <c r="E885" t="s">
        <v>16</v>
      </c>
      <c r="F885" t="s">
        <v>89</v>
      </c>
      <c r="G885" t="s">
        <v>43</v>
      </c>
      <c r="H885">
        <v>143891.94</v>
      </c>
      <c r="I885">
        <v>7</v>
      </c>
      <c r="J885" t="s">
        <v>28</v>
      </c>
      <c r="K885" t="s">
        <v>29</v>
      </c>
      <c r="L885" t="s">
        <v>40</v>
      </c>
      <c r="M885" t="s">
        <v>22</v>
      </c>
    </row>
    <row r="886" spans="1:13" x14ac:dyDescent="0.3">
      <c r="A886" t="s">
        <v>1369</v>
      </c>
      <c r="B886" t="s">
        <v>93</v>
      </c>
      <c r="C886">
        <v>51</v>
      </c>
      <c r="D886" t="s">
        <v>34</v>
      </c>
      <c r="E886" t="s">
        <v>64</v>
      </c>
      <c r="F886" t="s">
        <v>89</v>
      </c>
      <c r="G886" t="s">
        <v>27</v>
      </c>
      <c r="H886">
        <v>25820.15</v>
      </c>
      <c r="I886">
        <v>20</v>
      </c>
      <c r="J886" t="s">
        <v>19</v>
      </c>
      <c r="K886" t="s">
        <v>50</v>
      </c>
      <c r="L886" t="s">
        <v>45</v>
      </c>
      <c r="M886" t="s">
        <v>58</v>
      </c>
    </row>
    <row r="887" spans="1:13" x14ac:dyDescent="0.3">
      <c r="A887" t="s">
        <v>1370</v>
      </c>
      <c r="B887" t="s">
        <v>146</v>
      </c>
      <c r="C887">
        <v>62</v>
      </c>
      <c r="D887" t="s">
        <v>15</v>
      </c>
      <c r="E887" t="s">
        <v>83</v>
      </c>
      <c r="F887" t="s">
        <v>79</v>
      </c>
      <c r="G887" t="s">
        <v>80</v>
      </c>
      <c r="H887">
        <v>107688.7</v>
      </c>
      <c r="I887">
        <v>18</v>
      </c>
      <c r="J887" t="s">
        <v>28</v>
      </c>
      <c r="K887" t="s">
        <v>74</v>
      </c>
      <c r="L887" t="s">
        <v>21</v>
      </c>
      <c r="M887" t="s">
        <v>31</v>
      </c>
    </row>
    <row r="888" spans="1:13" x14ac:dyDescent="0.3">
      <c r="A888" t="s">
        <v>1371</v>
      </c>
      <c r="B888" t="s">
        <v>874</v>
      </c>
      <c r="C888">
        <v>59</v>
      </c>
      <c r="D888" t="s">
        <v>15</v>
      </c>
      <c r="E888" t="s">
        <v>25</v>
      </c>
      <c r="F888" t="s">
        <v>84</v>
      </c>
      <c r="G888" t="s">
        <v>54</v>
      </c>
      <c r="H888">
        <v>6777.46</v>
      </c>
      <c r="I888">
        <v>3</v>
      </c>
      <c r="J888" t="s">
        <v>19</v>
      </c>
      <c r="K888" t="s">
        <v>55</v>
      </c>
      <c r="L888" t="s">
        <v>112</v>
      </c>
      <c r="M888" t="s">
        <v>58</v>
      </c>
    </row>
    <row r="889" spans="1:13" x14ac:dyDescent="0.3">
      <c r="A889" t="s">
        <v>1372</v>
      </c>
      <c r="B889" t="s">
        <v>739</v>
      </c>
      <c r="C889">
        <v>38</v>
      </c>
      <c r="D889" t="s">
        <v>34</v>
      </c>
      <c r="E889" t="s">
        <v>117</v>
      </c>
      <c r="F889" t="s">
        <v>26</v>
      </c>
      <c r="G889" t="s">
        <v>54</v>
      </c>
      <c r="H889">
        <v>67274.880000000005</v>
      </c>
      <c r="I889">
        <v>10</v>
      </c>
      <c r="J889" t="s">
        <v>28</v>
      </c>
      <c r="K889" t="s">
        <v>55</v>
      </c>
      <c r="L889" t="s">
        <v>112</v>
      </c>
      <c r="M889" t="s">
        <v>58</v>
      </c>
    </row>
    <row r="890" spans="1:13" x14ac:dyDescent="0.3">
      <c r="A890" t="s">
        <v>1373</v>
      </c>
      <c r="B890" t="s">
        <v>693</v>
      </c>
      <c r="C890">
        <v>46</v>
      </c>
      <c r="D890" t="s">
        <v>15</v>
      </c>
      <c r="E890" t="s">
        <v>117</v>
      </c>
      <c r="F890" t="s">
        <v>26</v>
      </c>
      <c r="G890" t="s">
        <v>54</v>
      </c>
      <c r="H890">
        <v>12814.7</v>
      </c>
      <c r="I890">
        <v>1</v>
      </c>
      <c r="J890" t="s">
        <v>19</v>
      </c>
      <c r="K890" t="s">
        <v>39</v>
      </c>
      <c r="L890" t="s">
        <v>45</v>
      </c>
      <c r="M890" t="s">
        <v>22</v>
      </c>
    </row>
    <row r="891" spans="1:13" x14ac:dyDescent="0.3">
      <c r="A891" t="s">
        <v>1374</v>
      </c>
      <c r="B891" t="s">
        <v>418</v>
      </c>
      <c r="C891">
        <v>52</v>
      </c>
      <c r="D891" t="s">
        <v>34</v>
      </c>
      <c r="E891" t="s">
        <v>117</v>
      </c>
      <c r="F891" t="s">
        <v>84</v>
      </c>
      <c r="G891" t="s">
        <v>36</v>
      </c>
      <c r="H891">
        <v>93077.89</v>
      </c>
      <c r="I891">
        <v>17</v>
      </c>
      <c r="J891" t="s">
        <v>28</v>
      </c>
      <c r="K891" t="s">
        <v>39</v>
      </c>
      <c r="L891" t="s">
        <v>112</v>
      </c>
      <c r="M891" t="s">
        <v>22</v>
      </c>
    </row>
    <row r="892" spans="1:13" x14ac:dyDescent="0.3">
      <c r="A892" t="s">
        <v>1375</v>
      </c>
      <c r="B892" t="s">
        <v>1139</v>
      </c>
      <c r="C892">
        <v>2</v>
      </c>
      <c r="D892" t="s">
        <v>34</v>
      </c>
      <c r="E892" t="s">
        <v>16</v>
      </c>
      <c r="F892" t="s">
        <v>89</v>
      </c>
      <c r="G892" t="s">
        <v>36</v>
      </c>
      <c r="H892">
        <v>35285.769999999997</v>
      </c>
      <c r="I892">
        <v>1</v>
      </c>
      <c r="J892" t="s">
        <v>19</v>
      </c>
      <c r="K892" t="s">
        <v>20</v>
      </c>
      <c r="L892" t="s">
        <v>21</v>
      </c>
      <c r="M892" t="s">
        <v>22</v>
      </c>
    </row>
    <row r="893" spans="1:13" x14ac:dyDescent="0.3">
      <c r="A893" t="s">
        <v>1376</v>
      </c>
      <c r="B893" t="s">
        <v>558</v>
      </c>
      <c r="C893">
        <v>66</v>
      </c>
      <c r="D893" t="s">
        <v>34</v>
      </c>
      <c r="E893" t="s">
        <v>64</v>
      </c>
      <c r="F893" t="s">
        <v>61</v>
      </c>
      <c r="G893" t="s">
        <v>54</v>
      </c>
      <c r="H893">
        <v>12170</v>
      </c>
      <c r="I893">
        <v>6</v>
      </c>
      <c r="J893" t="s">
        <v>28</v>
      </c>
      <c r="K893" t="s">
        <v>20</v>
      </c>
      <c r="L893" t="s">
        <v>112</v>
      </c>
      <c r="M893" t="s">
        <v>58</v>
      </c>
    </row>
    <row r="894" spans="1:13" x14ac:dyDescent="0.3">
      <c r="A894" t="s">
        <v>1377</v>
      </c>
      <c r="B894" t="s">
        <v>663</v>
      </c>
      <c r="C894">
        <v>40</v>
      </c>
      <c r="D894" t="s">
        <v>15</v>
      </c>
      <c r="E894" t="s">
        <v>83</v>
      </c>
      <c r="F894" t="s">
        <v>84</v>
      </c>
      <c r="G894" t="s">
        <v>43</v>
      </c>
      <c r="H894">
        <v>108983.19</v>
      </c>
      <c r="I894">
        <v>10</v>
      </c>
      <c r="J894" t="s">
        <v>19</v>
      </c>
      <c r="K894" t="s">
        <v>50</v>
      </c>
      <c r="L894" t="s">
        <v>21</v>
      </c>
      <c r="M894" t="s">
        <v>58</v>
      </c>
    </row>
    <row r="895" spans="1:13" x14ac:dyDescent="0.3">
      <c r="A895" t="s">
        <v>1378</v>
      </c>
      <c r="B895" t="s">
        <v>1379</v>
      </c>
      <c r="C895">
        <v>32</v>
      </c>
      <c r="D895" t="s">
        <v>34</v>
      </c>
      <c r="E895" t="s">
        <v>117</v>
      </c>
      <c r="F895" t="s">
        <v>61</v>
      </c>
      <c r="G895" t="s">
        <v>36</v>
      </c>
      <c r="H895">
        <v>36088.58</v>
      </c>
      <c r="I895">
        <v>6</v>
      </c>
      <c r="J895" t="s">
        <v>28</v>
      </c>
      <c r="K895" t="s">
        <v>20</v>
      </c>
      <c r="L895" t="s">
        <v>45</v>
      </c>
      <c r="M895" t="s">
        <v>58</v>
      </c>
    </row>
    <row r="896" spans="1:13" x14ac:dyDescent="0.3">
      <c r="A896" t="s">
        <v>1380</v>
      </c>
      <c r="B896" t="s">
        <v>667</v>
      </c>
      <c r="C896">
        <v>50</v>
      </c>
      <c r="D896" t="s">
        <v>34</v>
      </c>
      <c r="E896" t="s">
        <v>83</v>
      </c>
      <c r="F896" t="s">
        <v>26</v>
      </c>
      <c r="G896" t="s">
        <v>54</v>
      </c>
      <c r="H896">
        <v>131665.20000000001</v>
      </c>
      <c r="I896">
        <v>2</v>
      </c>
      <c r="J896" t="s">
        <v>19</v>
      </c>
      <c r="K896" t="s">
        <v>29</v>
      </c>
      <c r="L896" t="s">
        <v>51</v>
      </c>
      <c r="M896" t="s">
        <v>22</v>
      </c>
    </row>
    <row r="897" spans="1:13" x14ac:dyDescent="0.3">
      <c r="A897" t="s">
        <v>1381</v>
      </c>
      <c r="B897" t="s">
        <v>787</v>
      </c>
      <c r="C897">
        <v>60</v>
      </c>
      <c r="D897" t="s">
        <v>34</v>
      </c>
      <c r="E897" t="s">
        <v>83</v>
      </c>
      <c r="F897" t="s">
        <v>26</v>
      </c>
      <c r="G897" t="s">
        <v>80</v>
      </c>
      <c r="H897">
        <v>113155.09</v>
      </c>
      <c r="I897">
        <v>2</v>
      </c>
      <c r="J897" t="s">
        <v>19</v>
      </c>
      <c r="K897" t="s">
        <v>29</v>
      </c>
      <c r="L897" t="s">
        <v>40</v>
      </c>
      <c r="M897" t="s">
        <v>31</v>
      </c>
    </row>
    <row r="898" spans="1:13" x14ac:dyDescent="0.3">
      <c r="A898" t="s">
        <v>1382</v>
      </c>
      <c r="B898" t="s">
        <v>312</v>
      </c>
      <c r="C898">
        <v>50</v>
      </c>
      <c r="D898" t="s">
        <v>34</v>
      </c>
      <c r="E898" t="s">
        <v>83</v>
      </c>
      <c r="F898" t="s">
        <v>84</v>
      </c>
      <c r="G898" t="s">
        <v>18</v>
      </c>
      <c r="H898">
        <v>131627.56</v>
      </c>
      <c r="I898">
        <v>16</v>
      </c>
      <c r="J898" t="s">
        <v>28</v>
      </c>
      <c r="K898" t="s">
        <v>74</v>
      </c>
      <c r="L898" t="s">
        <v>51</v>
      </c>
      <c r="M898" t="s">
        <v>22</v>
      </c>
    </row>
    <row r="899" spans="1:13" x14ac:dyDescent="0.3">
      <c r="A899" t="s">
        <v>1383</v>
      </c>
      <c r="B899" t="s">
        <v>309</v>
      </c>
      <c r="C899">
        <v>55</v>
      </c>
      <c r="D899" t="s">
        <v>34</v>
      </c>
      <c r="E899" t="s">
        <v>25</v>
      </c>
      <c r="F899" t="s">
        <v>89</v>
      </c>
      <c r="G899" t="s">
        <v>27</v>
      </c>
      <c r="H899">
        <v>30714.91</v>
      </c>
      <c r="I899">
        <v>16</v>
      </c>
      <c r="J899" t="s">
        <v>19</v>
      </c>
      <c r="K899" t="s">
        <v>55</v>
      </c>
      <c r="L899" t="s">
        <v>45</v>
      </c>
      <c r="M899" t="s">
        <v>22</v>
      </c>
    </row>
    <row r="900" spans="1:13" x14ac:dyDescent="0.3">
      <c r="A900" t="s">
        <v>1384</v>
      </c>
      <c r="B900" t="s">
        <v>1385</v>
      </c>
      <c r="C900">
        <v>34</v>
      </c>
      <c r="D900" t="s">
        <v>15</v>
      </c>
      <c r="E900" t="s">
        <v>83</v>
      </c>
      <c r="F900" t="s">
        <v>79</v>
      </c>
      <c r="G900" t="s">
        <v>36</v>
      </c>
      <c r="H900">
        <v>33160.61</v>
      </c>
      <c r="I900">
        <v>9</v>
      </c>
      <c r="J900" t="s">
        <v>28</v>
      </c>
      <c r="K900" t="s">
        <v>20</v>
      </c>
      <c r="L900" t="s">
        <v>112</v>
      </c>
      <c r="M900" t="s">
        <v>22</v>
      </c>
    </row>
    <row r="901" spans="1:13" x14ac:dyDescent="0.3">
      <c r="A901" t="s">
        <v>1386</v>
      </c>
      <c r="B901" t="s">
        <v>622</v>
      </c>
      <c r="C901">
        <v>68</v>
      </c>
      <c r="D901" t="s">
        <v>15</v>
      </c>
      <c r="E901" t="s">
        <v>117</v>
      </c>
      <c r="F901" t="s">
        <v>84</v>
      </c>
      <c r="G901" t="s">
        <v>54</v>
      </c>
      <c r="H901">
        <v>49195.32</v>
      </c>
      <c r="I901">
        <v>13</v>
      </c>
      <c r="J901" t="s">
        <v>28</v>
      </c>
      <c r="K901" t="s">
        <v>44</v>
      </c>
      <c r="L901" t="s">
        <v>112</v>
      </c>
      <c r="M901" t="s">
        <v>31</v>
      </c>
    </row>
    <row r="902" spans="1:13" x14ac:dyDescent="0.3">
      <c r="A902" t="s">
        <v>1387</v>
      </c>
      <c r="B902" t="s">
        <v>278</v>
      </c>
      <c r="C902">
        <v>58</v>
      </c>
      <c r="D902" t="s">
        <v>15</v>
      </c>
      <c r="E902" t="s">
        <v>35</v>
      </c>
      <c r="F902" t="s">
        <v>79</v>
      </c>
      <c r="G902" t="s">
        <v>54</v>
      </c>
      <c r="H902">
        <v>2872.52</v>
      </c>
      <c r="I902">
        <v>9</v>
      </c>
      <c r="J902" t="s">
        <v>28</v>
      </c>
      <c r="K902" t="s">
        <v>39</v>
      </c>
      <c r="L902" t="s">
        <v>51</v>
      </c>
      <c r="M902" t="s">
        <v>31</v>
      </c>
    </row>
    <row r="903" spans="1:13" x14ac:dyDescent="0.3">
      <c r="A903" t="s">
        <v>1388</v>
      </c>
      <c r="B903" t="s">
        <v>570</v>
      </c>
      <c r="C903">
        <v>14</v>
      </c>
      <c r="D903" t="s">
        <v>15</v>
      </c>
      <c r="E903" t="s">
        <v>83</v>
      </c>
      <c r="F903" t="s">
        <v>26</v>
      </c>
      <c r="G903" t="s">
        <v>54</v>
      </c>
      <c r="H903">
        <v>111467.41</v>
      </c>
      <c r="I903">
        <v>6</v>
      </c>
      <c r="J903" t="s">
        <v>28</v>
      </c>
      <c r="K903" t="s">
        <v>55</v>
      </c>
      <c r="L903" t="s">
        <v>45</v>
      </c>
      <c r="M903" t="s">
        <v>22</v>
      </c>
    </row>
    <row r="904" spans="1:13" x14ac:dyDescent="0.3">
      <c r="A904" t="s">
        <v>1389</v>
      </c>
      <c r="B904" t="s">
        <v>353</v>
      </c>
      <c r="C904">
        <v>39</v>
      </c>
      <c r="D904" t="s">
        <v>15</v>
      </c>
      <c r="E904" t="s">
        <v>35</v>
      </c>
      <c r="F904" t="s">
        <v>61</v>
      </c>
      <c r="G904" t="s">
        <v>27</v>
      </c>
      <c r="H904">
        <v>32688.61</v>
      </c>
      <c r="I904">
        <v>10</v>
      </c>
      <c r="J904" t="s">
        <v>28</v>
      </c>
      <c r="K904" t="s">
        <v>20</v>
      </c>
      <c r="L904" t="s">
        <v>30</v>
      </c>
      <c r="M904" t="s">
        <v>31</v>
      </c>
    </row>
    <row r="905" spans="1:13" x14ac:dyDescent="0.3">
      <c r="A905" t="s">
        <v>1390</v>
      </c>
      <c r="B905" t="s">
        <v>143</v>
      </c>
      <c r="C905">
        <v>43</v>
      </c>
      <c r="D905" t="s">
        <v>15</v>
      </c>
      <c r="E905" t="s">
        <v>83</v>
      </c>
      <c r="F905" t="s">
        <v>61</v>
      </c>
      <c r="G905" t="s">
        <v>54</v>
      </c>
      <c r="H905">
        <v>144604.51999999999</v>
      </c>
      <c r="I905">
        <v>6</v>
      </c>
      <c r="J905" t="s">
        <v>28</v>
      </c>
      <c r="K905" t="s">
        <v>50</v>
      </c>
      <c r="L905" t="s">
        <v>21</v>
      </c>
      <c r="M905" t="s">
        <v>31</v>
      </c>
    </row>
    <row r="906" spans="1:13" x14ac:dyDescent="0.3">
      <c r="A906" t="s">
        <v>1391</v>
      </c>
      <c r="B906" t="s">
        <v>125</v>
      </c>
      <c r="C906">
        <v>82</v>
      </c>
      <c r="D906" t="s">
        <v>34</v>
      </c>
      <c r="E906" t="s">
        <v>64</v>
      </c>
      <c r="F906" t="s">
        <v>61</v>
      </c>
      <c r="G906" t="s">
        <v>80</v>
      </c>
      <c r="H906">
        <v>19981.599999999999</v>
      </c>
      <c r="I906">
        <v>18</v>
      </c>
      <c r="J906" t="s">
        <v>19</v>
      </c>
      <c r="K906" t="s">
        <v>20</v>
      </c>
      <c r="L906" t="s">
        <v>30</v>
      </c>
      <c r="M906" t="s">
        <v>31</v>
      </c>
    </row>
    <row r="907" spans="1:13" x14ac:dyDescent="0.3">
      <c r="A907" t="s">
        <v>1392</v>
      </c>
      <c r="B907" t="s">
        <v>244</v>
      </c>
      <c r="C907">
        <v>32</v>
      </c>
      <c r="D907" t="s">
        <v>34</v>
      </c>
      <c r="E907" t="s">
        <v>35</v>
      </c>
      <c r="F907" t="s">
        <v>26</v>
      </c>
      <c r="G907" t="s">
        <v>54</v>
      </c>
      <c r="H907">
        <v>139683.78</v>
      </c>
      <c r="I907">
        <v>10</v>
      </c>
      <c r="J907" t="s">
        <v>19</v>
      </c>
      <c r="K907" t="s">
        <v>50</v>
      </c>
      <c r="L907" t="s">
        <v>45</v>
      </c>
      <c r="M907" t="s">
        <v>31</v>
      </c>
    </row>
    <row r="908" spans="1:13" x14ac:dyDescent="0.3">
      <c r="A908" t="s">
        <v>1393</v>
      </c>
      <c r="B908" t="s">
        <v>442</v>
      </c>
      <c r="C908">
        <v>7</v>
      </c>
      <c r="D908" t="s">
        <v>34</v>
      </c>
      <c r="E908" t="s">
        <v>16</v>
      </c>
      <c r="F908" t="s">
        <v>89</v>
      </c>
      <c r="G908" t="s">
        <v>80</v>
      </c>
      <c r="H908">
        <v>21855.52</v>
      </c>
      <c r="I908">
        <v>1</v>
      </c>
      <c r="J908" t="s">
        <v>19</v>
      </c>
      <c r="K908" t="s">
        <v>39</v>
      </c>
      <c r="L908" t="s">
        <v>112</v>
      </c>
      <c r="M908" t="s">
        <v>22</v>
      </c>
    </row>
    <row r="909" spans="1:13" x14ac:dyDescent="0.3">
      <c r="A909" t="s">
        <v>1394</v>
      </c>
      <c r="B909" t="s">
        <v>1210</v>
      </c>
      <c r="C909">
        <v>4</v>
      </c>
      <c r="D909" t="s">
        <v>15</v>
      </c>
      <c r="E909" t="s">
        <v>117</v>
      </c>
      <c r="F909" t="s">
        <v>89</v>
      </c>
      <c r="G909" t="s">
        <v>18</v>
      </c>
      <c r="H909">
        <v>77323.100000000006</v>
      </c>
      <c r="I909">
        <v>1</v>
      </c>
      <c r="J909" t="s">
        <v>19</v>
      </c>
      <c r="K909" t="s">
        <v>74</v>
      </c>
      <c r="L909" t="s">
        <v>40</v>
      </c>
      <c r="M909" t="s">
        <v>31</v>
      </c>
    </row>
    <row r="910" spans="1:13" x14ac:dyDescent="0.3">
      <c r="A910" t="s">
        <v>1395</v>
      </c>
      <c r="B910" t="s">
        <v>192</v>
      </c>
      <c r="C910">
        <v>62</v>
      </c>
      <c r="D910" t="s">
        <v>34</v>
      </c>
      <c r="E910" t="s">
        <v>35</v>
      </c>
      <c r="F910" t="s">
        <v>84</v>
      </c>
      <c r="G910" t="s">
        <v>18</v>
      </c>
      <c r="H910">
        <v>125691.43</v>
      </c>
      <c r="I910">
        <v>12</v>
      </c>
      <c r="J910" t="s">
        <v>19</v>
      </c>
      <c r="K910" t="s">
        <v>44</v>
      </c>
      <c r="L910" t="s">
        <v>30</v>
      </c>
      <c r="M910" t="s">
        <v>58</v>
      </c>
    </row>
    <row r="911" spans="1:13" x14ac:dyDescent="0.3">
      <c r="A911" t="s">
        <v>1396</v>
      </c>
      <c r="B911" t="s">
        <v>297</v>
      </c>
      <c r="C911">
        <v>46</v>
      </c>
      <c r="D911" t="s">
        <v>34</v>
      </c>
      <c r="E911" t="s">
        <v>117</v>
      </c>
      <c r="F911" t="s">
        <v>89</v>
      </c>
      <c r="G911" t="s">
        <v>43</v>
      </c>
      <c r="H911">
        <v>54298.41</v>
      </c>
      <c r="I911">
        <v>20</v>
      </c>
      <c r="J911" t="s">
        <v>28</v>
      </c>
      <c r="K911" t="s">
        <v>20</v>
      </c>
      <c r="L911" t="s">
        <v>45</v>
      </c>
      <c r="M911" t="s">
        <v>58</v>
      </c>
    </row>
    <row r="912" spans="1:13" x14ac:dyDescent="0.3">
      <c r="A912" t="s">
        <v>1397</v>
      </c>
      <c r="B912" t="s">
        <v>188</v>
      </c>
      <c r="C912">
        <v>5</v>
      </c>
      <c r="D912" t="s">
        <v>34</v>
      </c>
      <c r="E912" t="s">
        <v>25</v>
      </c>
      <c r="F912" t="s">
        <v>84</v>
      </c>
      <c r="G912" t="s">
        <v>27</v>
      </c>
      <c r="H912">
        <v>104018.36</v>
      </c>
      <c r="I912">
        <v>7</v>
      </c>
      <c r="J912" t="s">
        <v>28</v>
      </c>
      <c r="K912" t="s">
        <v>44</v>
      </c>
      <c r="L912" t="s">
        <v>40</v>
      </c>
      <c r="M912" t="s">
        <v>58</v>
      </c>
    </row>
    <row r="913" spans="1:13" x14ac:dyDescent="0.3">
      <c r="A913" t="s">
        <v>1398</v>
      </c>
      <c r="B913" t="s">
        <v>1152</v>
      </c>
      <c r="C913">
        <v>14</v>
      </c>
      <c r="D913" t="s">
        <v>34</v>
      </c>
      <c r="E913" t="s">
        <v>25</v>
      </c>
      <c r="F913" t="s">
        <v>84</v>
      </c>
      <c r="G913" t="s">
        <v>18</v>
      </c>
      <c r="H913">
        <v>9008.83</v>
      </c>
      <c r="I913">
        <v>14</v>
      </c>
      <c r="J913" t="s">
        <v>19</v>
      </c>
      <c r="K913" t="s">
        <v>69</v>
      </c>
      <c r="L913" t="s">
        <v>51</v>
      </c>
      <c r="M913" t="s">
        <v>58</v>
      </c>
    </row>
    <row r="914" spans="1:13" x14ac:dyDescent="0.3">
      <c r="A914" t="s">
        <v>1399</v>
      </c>
      <c r="B914" t="s">
        <v>1400</v>
      </c>
      <c r="C914">
        <v>50</v>
      </c>
      <c r="D914" t="s">
        <v>15</v>
      </c>
      <c r="E914" t="s">
        <v>16</v>
      </c>
      <c r="F914" t="s">
        <v>17</v>
      </c>
      <c r="G914" t="s">
        <v>27</v>
      </c>
      <c r="H914">
        <v>102887.67999999999</v>
      </c>
      <c r="I914">
        <v>3</v>
      </c>
      <c r="J914" t="s">
        <v>28</v>
      </c>
      <c r="K914" t="s">
        <v>20</v>
      </c>
      <c r="L914" t="s">
        <v>45</v>
      </c>
      <c r="M914" t="s">
        <v>58</v>
      </c>
    </row>
    <row r="915" spans="1:13" x14ac:dyDescent="0.3">
      <c r="A915" t="s">
        <v>1401</v>
      </c>
      <c r="B915" t="s">
        <v>68</v>
      </c>
      <c r="C915">
        <v>5</v>
      </c>
      <c r="D915" t="s">
        <v>34</v>
      </c>
      <c r="E915" t="s">
        <v>35</v>
      </c>
      <c r="F915" t="s">
        <v>84</v>
      </c>
      <c r="G915" t="s">
        <v>43</v>
      </c>
      <c r="H915">
        <v>77431.44</v>
      </c>
      <c r="I915">
        <v>19</v>
      </c>
      <c r="J915" t="s">
        <v>19</v>
      </c>
      <c r="K915" t="s">
        <v>39</v>
      </c>
      <c r="L915" t="s">
        <v>45</v>
      </c>
      <c r="M915" t="s">
        <v>31</v>
      </c>
    </row>
    <row r="916" spans="1:13" x14ac:dyDescent="0.3">
      <c r="A916" t="s">
        <v>1402</v>
      </c>
      <c r="B916" t="s">
        <v>1403</v>
      </c>
      <c r="C916">
        <v>58</v>
      </c>
      <c r="D916" t="s">
        <v>15</v>
      </c>
      <c r="E916" t="s">
        <v>83</v>
      </c>
      <c r="F916" t="s">
        <v>79</v>
      </c>
      <c r="G916" t="s">
        <v>54</v>
      </c>
      <c r="H916">
        <v>46134.75</v>
      </c>
      <c r="I916">
        <v>5</v>
      </c>
      <c r="J916" t="s">
        <v>19</v>
      </c>
      <c r="K916" t="s">
        <v>50</v>
      </c>
      <c r="L916" t="s">
        <v>45</v>
      </c>
      <c r="M916" t="s">
        <v>22</v>
      </c>
    </row>
    <row r="917" spans="1:13" x14ac:dyDescent="0.3">
      <c r="A917" t="s">
        <v>1404</v>
      </c>
      <c r="B917" t="s">
        <v>918</v>
      </c>
      <c r="C917">
        <v>88</v>
      </c>
      <c r="D917" t="s">
        <v>34</v>
      </c>
      <c r="E917" t="s">
        <v>117</v>
      </c>
      <c r="F917" t="s">
        <v>84</v>
      </c>
      <c r="G917" t="s">
        <v>27</v>
      </c>
      <c r="H917">
        <v>73912.95</v>
      </c>
      <c r="I917">
        <v>19</v>
      </c>
      <c r="J917" t="s">
        <v>19</v>
      </c>
      <c r="K917" t="s">
        <v>39</v>
      </c>
      <c r="L917" t="s">
        <v>40</v>
      </c>
      <c r="M917" t="s">
        <v>22</v>
      </c>
    </row>
    <row r="918" spans="1:13" x14ac:dyDescent="0.3">
      <c r="A918" t="s">
        <v>1405</v>
      </c>
      <c r="B918" t="s">
        <v>186</v>
      </c>
      <c r="C918">
        <v>68</v>
      </c>
      <c r="D918" t="s">
        <v>15</v>
      </c>
      <c r="E918" t="s">
        <v>16</v>
      </c>
      <c r="F918" t="s">
        <v>61</v>
      </c>
      <c r="G918" t="s">
        <v>80</v>
      </c>
      <c r="H918">
        <v>69819.839999999997</v>
      </c>
      <c r="I918">
        <v>14</v>
      </c>
      <c r="J918" t="s">
        <v>28</v>
      </c>
      <c r="K918" t="s">
        <v>69</v>
      </c>
      <c r="L918" t="s">
        <v>45</v>
      </c>
      <c r="M918" t="s">
        <v>58</v>
      </c>
    </row>
    <row r="919" spans="1:13" x14ac:dyDescent="0.3">
      <c r="A919" t="s">
        <v>1406</v>
      </c>
      <c r="B919" t="s">
        <v>1098</v>
      </c>
      <c r="C919">
        <v>1</v>
      </c>
      <c r="D919" t="s">
        <v>34</v>
      </c>
      <c r="E919" t="s">
        <v>16</v>
      </c>
      <c r="F919" t="s">
        <v>84</v>
      </c>
      <c r="G919" t="s">
        <v>18</v>
      </c>
      <c r="H919">
        <v>42559.85</v>
      </c>
      <c r="I919">
        <v>5</v>
      </c>
      <c r="J919" t="s">
        <v>19</v>
      </c>
      <c r="K919" t="s">
        <v>74</v>
      </c>
      <c r="L919" t="s">
        <v>51</v>
      </c>
      <c r="M919" t="s">
        <v>58</v>
      </c>
    </row>
    <row r="920" spans="1:13" x14ac:dyDescent="0.3">
      <c r="A920" t="s">
        <v>1407</v>
      </c>
      <c r="B920" t="s">
        <v>63</v>
      </c>
      <c r="C920">
        <v>36</v>
      </c>
      <c r="D920" t="s">
        <v>34</v>
      </c>
      <c r="E920" t="s">
        <v>64</v>
      </c>
      <c r="F920" t="s">
        <v>79</v>
      </c>
      <c r="G920" t="s">
        <v>36</v>
      </c>
      <c r="H920">
        <v>58108.57</v>
      </c>
      <c r="I920">
        <v>7</v>
      </c>
      <c r="J920" t="s">
        <v>28</v>
      </c>
      <c r="K920" t="s">
        <v>69</v>
      </c>
      <c r="L920" t="s">
        <v>40</v>
      </c>
      <c r="M920" t="s">
        <v>58</v>
      </c>
    </row>
    <row r="921" spans="1:13" x14ac:dyDescent="0.3">
      <c r="A921" t="s">
        <v>1408</v>
      </c>
      <c r="B921" t="s">
        <v>287</v>
      </c>
      <c r="C921">
        <v>52</v>
      </c>
      <c r="D921" t="s">
        <v>34</v>
      </c>
      <c r="E921" t="s">
        <v>25</v>
      </c>
      <c r="F921" t="s">
        <v>84</v>
      </c>
      <c r="G921" t="s">
        <v>54</v>
      </c>
      <c r="H921">
        <v>31522.39</v>
      </c>
      <c r="I921">
        <v>2</v>
      </c>
      <c r="J921" t="s">
        <v>28</v>
      </c>
      <c r="K921" t="s">
        <v>39</v>
      </c>
      <c r="L921" t="s">
        <v>51</v>
      </c>
      <c r="M921" t="s">
        <v>58</v>
      </c>
    </row>
    <row r="922" spans="1:13" x14ac:dyDescent="0.3">
      <c r="A922" t="s">
        <v>1409</v>
      </c>
      <c r="B922" t="s">
        <v>1410</v>
      </c>
      <c r="C922">
        <v>35</v>
      </c>
      <c r="D922" t="s">
        <v>15</v>
      </c>
      <c r="E922" t="s">
        <v>35</v>
      </c>
      <c r="F922" t="s">
        <v>89</v>
      </c>
      <c r="G922" t="s">
        <v>18</v>
      </c>
      <c r="H922">
        <v>80184.84</v>
      </c>
      <c r="I922">
        <v>12</v>
      </c>
      <c r="J922" t="s">
        <v>28</v>
      </c>
      <c r="K922" t="s">
        <v>29</v>
      </c>
      <c r="L922" t="s">
        <v>45</v>
      </c>
      <c r="M922" t="s">
        <v>58</v>
      </c>
    </row>
    <row r="923" spans="1:13" x14ac:dyDescent="0.3">
      <c r="A923" t="s">
        <v>1411</v>
      </c>
      <c r="B923" t="s">
        <v>635</v>
      </c>
      <c r="C923">
        <v>26</v>
      </c>
      <c r="D923" t="s">
        <v>34</v>
      </c>
      <c r="E923" t="s">
        <v>25</v>
      </c>
      <c r="F923" t="s">
        <v>26</v>
      </c>
      <c r="G923" t="s">
        <v>80</v>
      </c>
      <c r="H923">
        <v>20212.77</v>
      </c>
      <c r="I923">
        <v>9</v>
      </c>
      <c r="J923" t="s">
        <v>28</v>
      </c>
      <c r="K923" t="s">
        <v>69</v>
      </c>
      <c r="L923" t="s">
        <v>30</v>
      </c>
      <c r="M923" t="s">
        <v>22</v>
      </c>
    </row>
    <row r="924" spans="1:13" x14ac:dyDescent="0.3">
      <c r="A924" t="s">
        <v>1412</v>
      </c>
      <c r="B924" t="s">
        <v>642</v>
      </c>
      <c r="C924">
        <v>65</v>
      </c>
      <c r="D924" t="s">
        <v>34</v>
      </c>
      <c r="E924" t="s">
        <v>25</v>
      </c>
      <c r="F924" t="s">
        <v>26</v>
      </c>
      <c r="G924" t="s">
        <v>54</v>
      </c>
      <c r="H924">
        <v>66186.600000000006</v>
      </c>
      <c r="I924">
        <v>14</v>
      </c>
      <c r="J924" t="s">
        <v>19</v>
      </c>
      <c r="K924" t="s">
        <v>39</v>
      </c>
      <c r="L924" t="s">
        <v>112</v>
      </c>
      <c r="M924" t="s">
        <v>31</v>
      </c>
    </row>
    <row r="925" spans="1:13" x14ac:dyDescent="0.3">
      <c r="A925" t="s">
        <v>1413</v>
      </c>
      <c r="B925" t="s">
        <v>633</v>
      </c>
      <c r="C925">
        <v>26</v>
      </c>
      <c r="D925" t="s">
        <v>15</v>
      </c>
      <c r="E925" t="s">
        <v>117</v>
      </c>
      <c r="F925" t="s">
        <v>17</v>
      </c>
      <c r="G925" t="s">
        <v>36</v>
      </c>
      <c r="H925">
        <v>101664.38</v>
      </c>
      <c r="I925">
        <v>11</v>
      </c>
      <c r="J925" t="s">
        <v>28</v>
      </c>
      <c r="K925" t="s">
        <v>69</v>
      </c>
      <c r="L925" t="s">
        <v>112</v>
      </c>
      <c r="M925" t="s">
        <v>58</v>
      </c>
    </row>
    <row r="926" spans="1:13" x14ac:dyDescent="0.3">
      <c r="A926" t="s">
        <v>1414</v>
      </c>
      <c r="B926" t="s">
        <v>1415</v>
      </c>
      <c r="C926">
        <v>18</v>
      </c>
      <c r="D926" t="s">
        <v>34</v>
      </c>
      <c r="E926" t="s">
        <v>25</v>
      </c>
      <c r="F926" t="s">
        <v>61</v>
      </c>
      <c r="G926" t="s">
        <v>27</v>
      </c>
      <c r="H926">
        <v>146304.69</v>
      </c>
      <c r="I926">
        <v>8</v>
      </c>
      <c r="J926" t="s">
        <v>19</v>
      </c>
      <c r="K926" t="s">
        <v>69</v>
      </c>
      <c r="L926" t="s">
        <v>45</v>
      </c>
      <c r="M926" t="s">
        <v>22</v>
      </c>
    </row>
    <row r="927" spans="1:13" x14ac:dyDescent="0.3">
      <c r="A927" t="s">
        <v>1416</v>
      </c>
      <c r="B927" t="s">
        <v>1417</v>
      </c>
      <c r="C927">
        <v>22</v>
      </c>
      <c r="D927" t="s">
        <v>34</v>
      </c>
      <c r="E927" t="s">
        <v>64</v>
      </c>
      <c r="F927" t="s">
        <v>89</v>
      </c>
      <c r="G927" t="s">
        <v>43</v>
      </c>
      <c r="H927">
        <v>24254.37</v>
      </c>
      <c r="I927">
        <v>8</v>
      </c>
      <c r="J927" t="s">
        <v>28</v>
      </c>
      <c r="K927" t="s">
        <v>69</v>
      </c>
      <c r="L927" t="s">
        <v>112</v>
      </c>
      <c r="M927" t="s">
        <v>58</v>
      </c>
    </row>
    <row r="928" spans="1:13" x14ac:dyDescent="0.3">
      <c r="A928" t="s">
        <v>1418</v>
      </c>
      <c r="B928" t="s">
        <v>911</v>
      </c>
      <c r="C928">
        <v>4</v>
      </c>
      <c r="D928" t="s">
        <v>15</v>
      </c>
      <c r="E928" t="s">
        <v>35</v>
      </c>
      <c r="F928" t="s">
        <v>89</v>
      </c>
      <c r="G928" t="s">
        <v>54</v>
      </c>
      <c r="H928">
        <v>106634.15</v>
      </c>
      <c r="I928">
        <v>13</v>
      </c>
      <c r="J928" t="s">
        <v>19</v>
      </c>
      <c r="K928" t="s">
        <v>20</v>
      </c>
      <c r="L928" t="s">
        <v>112</v>
      </c>
      <c r="M928" t="s">
        <v>58</v>
      </c>
    </row>
    <row r="929" spans="1:13" x14ac:dyDescent="0.3">
      <c r="A929" t="s">
        <v>1419</v>
      </c>
      <c r="B929" t="s">
        <v>831</v>
      </c>
      <c r="C929">
        <v>62</v>
      </c>
      <c r="D929" t="s">
        <v>34</v>
      </c>
      <c r="E929" t="s">
        <v>35</v>
      </c>
      <c r="F929" t="s">
        <v>84</v>
      </c>
      <c r="G929" t="s">
        <v>18</v>
      </c>
      <c r="H929">
        <v>103130</v>
      </c>
      <c r="I929">
        <v>18</v>
      </c>
      <c r="J929" t="s">
        <v>28</v>
      </c>
      <c r="K929" t="s">
        <v>69</v>
      </c>
      <c r="L929" t="s">
        <v>21</v>
      </c>
      <c r="M929" t="s">
        <v>31</v>
      </c>
    </row>
    <row r="930" spans="1:13" x14ac:dyDescent="0.3">
      <c r="A930" t="s">
        <v>1420</v>
      </c>
      <c r="B930" t="s">
        <v>862</v>
      </c>
      <c r="C930">
        <v>86</v>
      </c>
      <c r="D930" t="s">
        <v>34</v>
      </c>
      <c r="E930" t="s">
        <v>35</v>
      </c>
      <c r="F930" t="s">
        <v>17</v>
      </c>
      <c r="G930" t="s">
        <v>54</v>
      </c>
      <c r="H930">
        <v>37257.699999999997</v>
      </c>
      <c r="I930">
        <v>13</v>
      </c>
      <c r="J930" t="s">
        <v>28</v>
      </c>
      <c r="K930" t="s">
        <v>29</v>
      </c>
      <c r="L930" t="s">
        <v>40</v>
      </c>
      <c r="M930" t="s">
        <v>58</v>
      </c>
    </row>
    <row r="931" spans="1:13" x14ac:dyDescent="0.3">
      <c r="A931" t="s">
        <v>1421</v>
      </c>
      <c r="B931" t="s">
        <v>1422</v>
      </c>
      <c r="C931">
        <v>90</v>
      </c>
      <c r="D931" t="s">
        <v>34</v>
      </c>
      <c r="E931" t="s">
        <v>25</v>
      </c>
      <c r="F931" t="s">
        <v>17</v>
      </c>
      <c r="G931" t="s">
        <v>36</v>
      </c>
      <c r="H931">
        <v>90454.77</v>
      </c>
      <c r="I931">
        <v>6</v>
      </c>
      <c r="J931" t="s">
        <v>28</v>
      </c>
      <c r="K931" t="s">
        <v>74</v>
      </c>
      <c r="L931" t="s">
        <v>21</v>
      </c>
      <c r="M931" t="s">
        <v>58</v>
      </c>
    </row>
    <row r="932" spans="1:13" x14ac:dyDescent="0.3">
      <c r="A932" t="s">
        <v>1423</v>
      </c>
      <c r="B932" t="s">
        <v>263</v>
      </c>
      <c r="C932">
        <v>8</v>
      </c>
      <c r="D932" t="s">
        <v>15</v>
      </c>
      <c r="E932" t="s">
        <v>83</v>
      </c>
      <c r="F932" t="s">
        <v>79</v>
      </c>
      <c r="G932" t="s">
        <v>36</v>
      </c>
      <c r="H932">
        <v>65091.85</v>
      </c>
      <c r="I932">
        <v>2</v>
      </c>
      <c r="J932" t="s">
        <v>28</v>
      </c>
      <c r="K932" t="s">
        <v>20</v>
      </c>
      <c r="L932" t="s">
        <v>30</v>
      </c>
      <c r="M932" t="s">
        <v>58</v>
      </c>
    </row>
    <row r="933" spans="1:13" x14ac:dyDescent="0.3">
      <c r="A933" t="s">
        <v>1424</v>
      </c>
      <c r="B933" t="s">
        <v>276</v>
      </c>
      <c r="C933">
        <v>78</v>
      </c>
      <c r="D933" t="s">
        <v>15</v>
      </c>
      <c r="E933" t="s">
        <v>25</v>
      </c>
      <c r="F933" t="s">
        <v>26</v>
      </c>
      <c r="G933" t="s">
        <v>36</v>
      </c>
      <c r="H933">
        <v>112959.61</v>
      </c>
      <c r="I933">
        <v>19</v>
      </c>
      <c r="J933" t="s">
        <v>28</v>
      </c>
      <c r="K933" t="s">
        <v>74</v>
      </c>
      <c r="L933" t="s">
        <v>51</v>
      </c>
      <c r="M933" t="s">
        <v>58</v>
      </c>
    </row>
    <row r="934" spans="1:13" x14ac:dyDescent="0.3">
      <c r="A934" t="s">
        <v>1425</v>
      </c>
      <c r="B934" t="s">
        <v>959</v>
      </c>
      <c r="C934">
        <v>62</v>
      </c>
      <c r="D934" t="s">
        <v>15</v>
      </c>
      <c r="E934" t="s">
        <v>64</v>
      </c>
      <c r="F934" t="s">
        <v>17</v>
      </c>
      <c r="G934" t="s">
        <v>27</v>
      </c>
      <c r="H934">
        <v>26314.23</v>
      </c>
      <c r="I934">
        <v>4</v>
      </c>
      <c r="J934" t="s">
        <v>28</v>
      </c>
      <c r="K934" t="s">
        <v>44</v>
      </c>
      <c r="L934" t="s">
        <v>51</v>
      </c>
      <c r="M934" t="s">
        <v>58</v>
      </c>
    </row>
    <row r="935" spans="1:13" x14ac:dyDescent="0.3">
      <c r="A935" t="s">
        <v>1426</v>
      </c>
      <c r="B935" t="s">
        <v>184</v>
      </c>
      <c r="C935">
        <v>42</v>
      </c>
      <c r="D935" t="s">
        <v>15</v>
      </c>
      <c r="E935" t="s">
        <v>117</v>
      </c>
      <c r="F935" t="s">
        <v>26</v>
      </c>
      <c r="G935" t="s">
        <v>54</v>
      </c>
      <c r="H935">
        <v>76098.62</v>
      </c>
      <c r="I935">
        <v>6</v>
      </c>
      <c r="J935" t="s">
        <v>19</v>
      </c>
      <c r="K935" t="s">
        <v>69</v>
      </c>
      <c r="L935" t="s">
        <v>21</v>
      </c>
      <c r="M935" t="s">
        <v>22</v>
      </c>
    </row>
    <row r="936" spans="1:13" x14ac:dyDescent="0.3">
      <c r="A936" t="s">
        <v>1427</v>
      </c>
      <c r="B936" t="s">
        <v>839</v>
      </c>
      <c r="C936">
        <v>17</v>
      </c>
      <c r="D936" t="s">
        <v>15</v>
      </c>
      <c r="E936" t="s">
        <v>16</v>
      </c>
      <c r="F936" t="s">
        <v>79</v>
      </c>
      <c r="G936" t="s">
        <v>18</v>
      </c>
      <c r="H936">
        <v>57367.98</v>
      </c>
      <c r="I936">
        <v>9</v>
      </c>
      <c r="J936" t="s">
        <v>19</v>
      </c>
      <c r="K936" t="s">
        <v>69</v>
      </c>
      <c r="L936" t="s">
        <v>40</v>
      </c>
      <c r="M936" t="s">
        <v>58</v>
      </c>
    </row>
    <row r="937" spans="1:13" x14ac:dyDescent="0.3">
      <c r="A937" t="s">
        <v>1428</v>
      </c>
      <c r="B937" t="s">
        <v>88</v>
      </c>
      <c r="C937">
        <v>13</v>
      </c>
      <c r="D937" t="s">
        <v>15</v>
      </c>
      <c r="E937" t="s">
        <v>35</v>
      </c>
      <c r="F937" t="s">
        <v>26</v>
      </c>
      <c r="G937" t="s">
        <v>80</v>
      </c>
      <c r="H937">
        <v>46166.2</v>
      </c>
      <c r="I937">
        <v>14</v>
      </c>
      <c r="J937" t="s">
        <v>28</v>
      </c>
      <c r="K937" t="s">
        <v>44</v>
      </c>
      <c r="L937" t="s">
        <v>112</v>
      </c>
      <c r="M937" t="s">
        <v>22</v>
      </c>
    </row>
    <row r="938" spans="1:13" x14ac:dyDescent="0.3">
      <c r="A938" t="s">
        <v>1429</v>
      </c>
      <c r="B938" t="s">
        <v>1344</v>
      </c>
      <c r="C938">
        <v>79</v>
      </c>
      <c r="D938" t="s">
        <v>34</v>
      </c>
      <c r="E938" t="s">
        <v>64</v>
      </c>
      <c r="F938" t="s">
        <v>84</v>
      </c>
      <c r="G938" t="s">
        <v>27</v>
      </c>
      <c r="H938">
        <v>134639.24</v>
      </c>
      <c r="I938">
        <v>11</v>
      </c>
      <c r="J938" t="s">
        <v>28</v>
      </c>
      <c r="K938" t="s">
        <v>20</v>
      </c>
      <c r="L938" t="s">
        <v>40</v>
      </c>
      <c r="M938" t="s">
        <v>58</v>
      </c>
    </row>
    <row r="939" spans="1:13" x14ac:dyDescent="0.3">
      <c r="A939" t="s">
        <v>1430</v>
      </c>
      <c r="B939" t="s">
        <v>278</v>
      </c>
      <c r="C939">
        <v>44</v>
      </c>
      <c r="D939" t="s">
        <v>34</v>
      </c>
      <c r="E939" t="s">
        <v>64</v>
      </c>
      <c r="F939" t="s">
        <v>79</v>
      </c>
      <c r="G939" t="s">
        <v>27</v>
      </c>
      <c r="H939">
        <v>117234.52</v>
      </c>
      <c r="I939">
        <v>18</v>
      </c>
      <c r="J939" t="s">
        <v>28</v>
      </c>
      <c r="K939" t="s">
        <v>20</v>
      </c>
      <c r="L939" t="s">
        <v>21</v>
      </c>
      <c r="M939" t="s">
        <v>22</v>
      </c>
    </row>
    <row r="940" spans="1:13" x14ac:dyDescent="0.3">
      <c r="A940" t="s">
        <v>1431</v>
      </c>
      <c r="B940" t="s">
        <v>479</v>
      </c>
      <c r="C940">
        <v>77</v>
      </c>
      <c r="D940" t="s">
        <v>15</v>
      </c>
      <c r="E940" t="s">
        <v>35</v>
      </c>
      <c r="F940" t="s">
        <v>89</v>
      </c>
      <c r="G940" t="s">
        <v>18</v>
      </c>
      <c r="H940">
        <v>22433.13</v>
      </c>
      <c r="I940">
        <v>16</v>
      </c>
      <c r="J940" t="s">
        <v>28</v>
      </c>
      <c r="K940" t="s">
        <v>74</v>
      </c>
      <c r="L940" t="s">
        <v>40</v>
      </c>
      <c r="M940" t="s">
        <v>31</v>
      </c>
    </row>
    <row r="941" spans="1:13" x14ac:dyDescent="0.3">
      <c r="A941" t="s">
        <v>1432</v>
      </c>
      <c r="B941" t="s">
        <v>1433</v>
      </c>
      <c r="C941">
        <v>78</v>
      </c>
      <c r="D941" t="s">
        <v>34</v>
      </c>
      <c r="E941" t="s">
        <v>64</v>
      </c>
      <c r="F941" t="s">
        <v>26</v>
      </c>
      <c r="G941" t="s">
        <v>27</v>
      </c>
      <c r="H941">
        <v>119637.25</v>
      </c>
      <c r="I941">
        <v>13</v>
      </c>
      <c r="J941" t="s">
        <v>28</v>
      </c>
      <c r="K941" t="s">
        <v>29</v>
      </c>
      <c r="L941" t="s">
        <v>45</v>
      </c>
      <c r="M941" t="s">
        <v>58</v>
      </c>
    </row>
    <row r="942" spans="1:13" x14ac:dyDescent="0.3">
      <c r="A942" t="s">
        <v>1434</v>
      </c>
      <c r="B942" t="s">
        <v>1435</v>
      </c>
      <c r="C942">
        <v>56</v>
      </c>
      <c r="D942" t="s">
        <v>34</v>
      </c>
      <c r="E942" t="s">
        <v>117</v>
      </c>
      <c r="F942" t="s">
        <v>79</v>
      </c>
      <c r="G942" t="s">
        <v>36</v>
      </c>
      <c r="H942">
        <v>75371.789999999994</v>
      </c>
      <c r="I942">
        <v>3</v>
      </c>
      <c r="J942" t="s">
        <v>28</v>
      </c>
      <c r="K942" t="s">
        <v>69</v>
      </c>
      <c r="L942" t="s">
        <v>45</v>
      </c>
      <c r="M942" t="s">
        <v>31</v>
      </c>
    </row>
    <row r="943" spans="1:13" x14ac:dyDescent="0.3">
      <c r="A943" t="s">
        <v>1436</v>
      </c>
      <c r="B943" t="s">
        <v>909</v>
      </c>
      <c r="C943">
        <v>50</v>
      </c>
      <c r="D943" t="s">
        <v>15</v>
      </c>
      <c r="E943" t="s">
        <v>25</v>
      </c>
      <c r="F943" t="s">
        <v>61</v>
      </c>
      <c r="G943" t="s">
        <v>27</v>
      </c>
      <c r="H943">
        <v>42247.01</v>
      </c>
      <c r="I943">
        <v>9</v>
      </c>
      <c r="J943" t="s">
        <v>28</v>
      </c>
      <c r="K943" t="s">
        <v>55</v>
      </c>
      <c r="L943" t="s">
        <v>45</v>
      </c>
      <c r="M943" t="s">
        <v>58</v>
      </c>
    </row>
    <row r="944" spans="1:13" x14ac:dyDescent="0.3">
      <c r="A944" t="s">
        <v>1437</v>
      </c>
      <c r="B944" t="s">
        <v>432</v>
      </c>
      <c r="C944">
        <v>41</v>
      </c>
      <c r="D944" t="s">
        <v>34</v>
      </c>
      <c r="E944" t="s">
        <v>16</v>
      </c>
      <c r="F944" t="s">
        <v>26</v>
      </c>
      <c r="G944" t="s">
        <v>80</v>
      </c>
      <c r="H944">
        <v>132950.10999999999</v>
      </c>
      <c r="I944">
        <v>19</v>
      </c>
      <c r="J944" t="s">
        <v>28</v>
      </c>
      <c r="K944" t="s">
        <v>69</v>
      </c>
      <c r="L944" t="s">
        <v>40</v>
      </c>
      <c r="M944" t="s">
        <v>58</v>
      </c>
    </row>
    <row r="945" spans="1:13" x14ac:dyDescent="0.3">
      <c r="A945" t="s">
        <v>1438</v>
      </c>
      <c r="B945" t="s">
        <v>633</v>
      </c>
      <c r="C945">
        <v>29</v>
      </c>
      <c r="D945" t="s">
        <v>15</v>
      </c>
      <c r="E945" t="s">
        <v>117</v>
      </c>
      <c r="F945" t="s">
        <v>26</v>
      </c>
      <c r="G945" t="s">
        <v>54</v>
      </c>
      <c r="H945">
        <v>49747.11</v>
      </c>
      <c r="I945">
        <v>1</v>
      </c>
      <c r="J945" t="s">
        <v>19</v>
      </c>
      <c r="K945" t="s">
        <v>50</v>
      </c>
      <c r="L945" t="s">
        <v>21</v>
      </c>
      <c r="M945" t="s">
        <v>22</v>
      </c>
    </row>
    <row r="946" spans="1:13" x14ac:dyDescent="0.3">
      <c r="A946" t="s">
        <v>1439</v>
      </c>
      <c r="B946" t="s">
        <v>491</v>
      </c>
      <c r="C946">
        <v>89</v>
      </c>
      <c r="D946" t="s">
        <v>15</v>
      </c>
      <c r="E946" t="s">
        <v>64</v>
      </c>
      <c r="F946" t="s">
        <v>17</v>
      </c>
      <c r="G946" t="s">
        <v>43</v>
      </c>
      <c r="H946">
        <v>69341.02</v>
      </c>
      <c r="I946">
        <v>4</v>
      </c>
      <c r="J946" t="s">
        <v>19</v>
      </c>
      <c r="K946" t="s">
        <v>29</v>
      </c>
      <c r="L946" t="s">
        <v>45</v>
      </c>
      <c r="M946" t="s">
        <v>31</v>
      </c>
    </row>
    <row r="947" spans="1:13" x14ac:dyDescent="0.3">
      <c r="A947" t="s">
        <v>1440</v>
      </c>
      <c r="B947" t="s">
        <v>289</v>
      </c>
      <c r="C947">
        <v>38</v>
      </c>
      <c r="D947" t="s">
        <v>15</v>
      </c>
      <c r="E947" t="s">
        <v>64</v>
      </c>
      <c r="F947" t="s">
        <v>84</v>
      </c>
      <c r="G947" t="s">
        <v>27</v>
      </c>
      <c r="H947">
        <v>88255.3</v>
      </c>
      <c r="I947">
        <v>2</v>
      </c>
      <c r="J947" t="s">
        <v>28</v>
      </c>
      <c r="K947" t="s">
        <v>39</v>
      </c>
      <c r="L947" t="s">
        <v>51</v>
      </c>
      <c r="M947" t="s">
        <v>22</v>
      </c>
    </row>
    <row r="948" spans="1:13" x14ac:dyDescent="0.3">
      <c r="A948" t="s">
        <v>1441</v>
      </c>
      <c r="B948" t="s">
        <v>1442</v>
      </c>
      <c r="C948">
        <v>68</v>
      </c>
      <c r="D948" t="s">
        <v>15</v>
      </c>
      <c r="E948" t="s">
        <v>64</v>
      </c>
      <c r="F948" t="s">
        <v>17</v>
      </c>
      <c r="G948" t="s">
        <v>43</v>
      </c>
      <c r="H948">
        <v>40121.449999999997</v>
      </c>
      <c r="I948">
        <v>4</v>
      </c>
      <c r="J948" t="s">
        <v>19</v>
      </c>
      <c r="K948" t="s">
        <v>50</v>
      </c>
      <c r="L948" t="s">
        <v>21</v>
      </c>
      <c r="M948" t="s">
        <v>31</v>
      </c>
    </row>
    <row r="949" spans="1:13" x14ac:dyDescent="0.3">
      <c r="A949" t="s">
        <v>1443</v>
      </c>
      <c r="B949" t="s">
        <v>735</v>
      </c>
      <c r="C949">
        <v>83</v>
      </c>
      <c r="D949" t="s">
        <v>15</v>
      </c>
      <c r="E949" t="s">
        <v>35</v>
      </c>
      <c r="F949" t="s">
        <v>26</v>
      </c>
      <c r="G949" t="s">
        <v>54</v>
      </c>
      <c r="H949">
        <v>70293.83</v>
      </c>
      <c r="I949">
        <v>19</v>
      </c>
      <c r="J949" t="s">
        <v>28</v>
      </c>
      <c r="K949" t="s">
        <v>69</v>
      </c>
      <c r="L949" t="s">
        <v>40</v>
      </c>
      <c r="M949" t="s">
        <v>58</v>
      </c>
    </row>
    <row r="950" spans="1:13" x14ac:dyDescent="0.3">
      <c r="A950" t="s">
        <v>1444</v>
      </c>
      <c r="B950" t="s">
        <v>808</v>
      </c>
      <c r="C950">
        <v>82</v>
      </c>
      <c r="D950" t="s">
        <v>15</v>
      </c>
      <c r="E950" t="s">
        <v>35</v>
      </c>
      <c r="F950" t="s">
        <v>89</v>
      </c>
      <c r="G950" t="s">
        <v>54</v>
      </c>
      <c r="H950">
        <v>102630.94</v>
      </c>
      <c r="I950">
        <v>15</v>
      </c>
      <c r="J950" t="s">
        <v>19</v>
      </c>
      <c r="K950" t="s">
        <v>20</v>
      </c>
      <c r="L950" t="s">
        <v>21</v>
      </c>
      <c r="M950" t="s">
        <v>31</v>
      </c>
    </row>
    <row r="951" spans="1:13" x14ac:dyDescent="0.3">
      <c r="A951" t="s">
        <v>1445</v>
      </c>
      <c r="B951" t="s">
        <v>49</v>
      </c>
      <c r="C951">
        <v>63</v>
      </c>
      <c r="D951" t="s">
        <v>15</v>
      </c>
      <c r="E951" t="s">
        <v>83</v>
      </c>
      <c r="F951" t="s">
        <v>17</v>
      </c>
      <c r="G951" t="s">
        <v>54</v>
      </c>
      <c r="H951">
        <v>104382.21</v>
      </c>
      <c r="I951">
        <v>18</v>
      </c>
      <c r="J951" t="s">
        <v>19</v>
      </c>
      <c r="K951" t="s">
        <v>50</v>
      </c>
      <c r="L951" t="s">
        <v>112</v>
      </c>
      <c r="M951" t="s">
        <v>22</v>
      </c>
    </row>
    <row r="952" spans="1:13" x14ac:dyDescent="0.3">
      <c r="A952" t="s">
        <v>1446</v>
      </c>
      <c r="B952" t="s">
        <v>1447</v>
      </c>
      <c r="C952">
        <v>58</v>
      </c>
      <c r="D952" t="s">
        <v>34</v>
      </c>
      <c r="E952" t="s">
        <v>16</v>
      </c>
      <c r="F952" t="s">
        <v>26</v>
      </c>
      <c r="G952" t="s">
        <v>43</v>
      </c>
      <c r="H952">
        <v>9071.7199999999993</v>
      </c>
      <c r="I952">
        <v>15</v>
      </c>
      <c r="J952" t="s">
        <v>19</v>
      </c>
      <c r="K952" t="s">
        <v>69</v>
      </c>
      <c r="L952" t="s">
        <v>45</v>
      </c>
      <c r="M952" t="s">
        <v>58</v>
      </c>
    </row>
    <row r="953" spans="1:13" x14ac:dyDescent="0.3">
      <c r="A953" t="s">
        <v>1448</v>
      </c>
      <c r="B953" t="s">
        <v>880</v>
      </c>
      <c r="C953">
        <v>28</v>
      </c>
      <c r="D953" t="s">
        <v>15</v>
      </c>
      <c r="E953" t="s">
        <v>117</v>
      </c>
      <c r="F953" t="s">
        <v>89</v>
      </c>
      <c r="G953" t="s">
        <v>27</v>
      </c>
      <c r="H953">
        <v>20618.84</v>
      </c>
      <c r="I953">
        <v>15</v>
      </c>
      <c r="J953" t="s">
        <v>28</v>
      </c>
      <c r="K953" t="s">
        <v>74</v>
      </c>
      <c r="L953" t="s">
        <v>51</v>
      </c>
      <c r="M953" t="s">
        <v>31</v>
      </c>
    </row>
    <row r="954" spans="1:13" x14ac:dyDescent="0.3">
      <c r="A954" t="s">
        <v>1449</v>
      </c>
      <c r="B954" t="s">
        <v>981</v>
      </c>
      <c r="C954">
        <v>15</v>
      </c>
      <c r="D954" t="s">
        <v>34</v>
      </c>
      <c r="E954" t="s">
        <v>83</v>
      </c>
      <c r="F954" t="s">
        <v>61</v>
      </c>
      <c r="G954" t="s">
        <v>43</v>
      </c>
      <c r="H954">
        <v>51466.38</v>
      </c>
      <c r="I954">
        <v>19</v>
      </c>
      <c r="J954" t="s">
        <v>28</v>
      </c>
      <c r="K954" t="s">
        <v>29</v>
      </c>
      <c r="L954" t="s">
        <v>45</v>
      </c>
      <c r="M954" t="s">
        <v>31</v>
      </c>
    </row>
    <row r="955" spans="1:13" x14ac:dyDescent="0.3">
      <c r="A955" t="s">
        <v>1450</v>
      </c>
      <c r="B955" t="s">
        <v>212</v>
      </c>
      <c r="C955">
        <v>50</v>
      </c>
      <c r="D955" t="s">
        <v>34</v>
      </c>
      <c r="E955" t="s">
        <v>83</v>
      </c>
      <c r="F955" t="s">
        <v>89</v>
      </c>
      <c r="G955" t="s">
        <v>43</v>
      </c>
      <c r="H955">
        <v>126017.05</v>
      </c>
      <c r="I955">
        <v>2</v>
      </c>
      <c r="J955" t="s">
        <v>28</v>
      </c>
      <c r="K955" t="s">
        <v>44</v>
      </c>
      <c r="L955" t="s">
        <v>112</v>
      </c>
      <c r="M955" t="s">
        <v>31</v>
      </c>
    </row>
    <row r="956" spans="1:13" x14ac:dyDescent="0.3">
      <c r="A956" t="s">
        <v>1451</v>
      </c>
      <c r="B956" t="s">
        <v>184</v>
      </c>
      <c r="C956">
        <v>1</v>
      </c>
      <c r="D956" t="s">
        <v>34</v>
      </c>
      <c r="E956" t="s">
        <v>83</v>
      </c>
      <c r="F956" t="s">
        <v>89</v>
      </c>
      <c r="G956" t="s">
        <v>18</v>
      </c>
      <c r="H956">
        <v>116777.09</v>
      </c>
      <c r="I956">
        <v>17</v>
      </c>
      <c r="J956" t="s">
        <v>28</v>
      </c>
      <c r="K956" t="s">
        <v>55</v>
      </c>
      <c r="L956" t="s">
        <v>51</v>
      </c>
      <c r="M956" t="s">
        <v>22</v>
      </c>
    </row>
    <row r="957" spans="1:13" x14ac:dyDescent="0.3">
      <c r="A957" t="s">
        <v>1452</v>
      </c>
      <c r="B957" t="s">
        <v>833</v>
      </c>
      <c r="C957">
        <v>54</v>
      </c>
      <c r="D957" t="s">
        <v>15</v>
      </c>
      <c r="E957" t="s">
        <v>25</v>
      </c>
      <c r="F957" t="s">
        <v>61</v>
      </c>
      <c r="G957" t="s">
        <v>80</v>
      </c>
      <c r="H957">
        <v>72021.960000000006</v>
      </c>
      <c r="I957">
        <v>12</v>
      </c>
      <c r="J957" t="s">
        <v>19</v>
      </c>
      <c r="K957" t="s">
        <v>55</v>
      </c>
      <c r="L957" t="s">
        <v>21</v>
      </c>
      <c r="M957" t="s">
        <v>22</v>
      </c>
    </row>
    <row r="958" spans="1:13" x14ac:dyDescent="0.3">
      <c r="A958" t="s">
        <v>1453</v>
      </c>
      <c r="B958" t="s">
        <v>1454</v>
      </c>
      <c r="C958">
        <v>48</v>
      </c>
      <c r="D958" t="s">
        <v>15</v>
      </c>
      <c r="E958" t="s">
        <v>64</v>
      </c>
      <c r="F958" t="s">
        <v>89</v>
      </c>
      <c r="G958" t="s">
        <v>80</v>
      </c>
      <c r="H958">
        <v>122668.02</v>
      </c>
      <c r="I958">
        <v>4</v>
      </c>
      <c r="J958" t="s">
        <v>28</v>
      </c>
      <c r="K958" t="s">
        <v>39</v>
      </c>
      <c r="L958" t="s">
        <v>51</v>
      </c>
      <c r="M958" t="s">
        <v>31</v>
      </c>
    </row>
    <row r="959" spans="1:13" x14ac:dyDescent="0.3">
      <c r="A959" t="s">
        <v>1455</v>
      </c>
      <c r="B959" t="s">
        <v>721</v>
      </c>
      <c r="C959">
        <v>32</v>
      </c>
      <c r="D959" t="s">
        <v>34</v>
      </c>
      <c r="E959" t="s">
        <v>16</v>
      </c>
      <c r="F959" t="s">
        <v>61</v>
      </c>
      <c r="G959" t="s">
        <v>18</v>
      </c>
      <c r="H959">
        <v>91738.72</v>
      </c>
      <c r="I959">
        <v>19</v>
      </c>
      <c r="J959" t="s">
        <v>28</v>
      </c>
      <c r="K959" t="s">
        <v>55</v>
      </c>
      <c r="L959" t="s">
        <v>45</v>
      </c>
      <c r="M959" t="s">
        <v>58</v>
      </c>
    </row>
    <row r="960" spans="1:13" x14ac:dyDescent="0.3">
      <c r="A960" t="s">
        <v>1456</v>
      </c>
      <c r="B960" t="s">
        <v>1457</v>
      </c>
      <c r="C960">
        <v>12</v>
      </c>
      <c r="D960" t="s">
        <v>15</v>
      </c>
      <c r="E960" t="s">
        <v>83</v>
      </c>
      <c r="F960" t="s">
        <v>84</v>
      </c>
      <c r="G960" t="s">
        <v>27</v>
      </c>
      <c r="H960">
        <v>92878.399999999994</v>
      </c>
      <c r="I960">
        <v>11</v>
      </c>
      <c r="J960" t="s">
        <v>19</v>
      </c>
      <c r="K960" t="s">
        <v>69</v>
      </c>
      <c r="L960" t="s">
        <v>40</v>
      </c>
      <c r="M960" t="s">
        <v>31</v>
      </c>
    </row>
    <row r="961" spans="1:13" x14ac:dyDescent="0.3">
      <c r="A961" t="s">
        <v>1458</v>
      </c>
      <c r="B961" t="s">
        <v>811</v>
      </c>
      <c r="C961">
        <v>58</v>
      </c>
      <c r="D961" t="s">
        <v>15</v>
      </c>
      <c r="E961" t="s">
        <v>16</v>
      </c>
      <c r="F961" t="s">
        <v>89</v>
      </c>
      <c r="G961" t="s">
        <v>18</v>
      </c>
      <c r="H961">
        <v>95130.75</v>
      </c>
      <c r="I961">
        <v>17</v>
      </c>
      <c r="J961" t="s">
        <v>28</v>
      </c>
      <c r="K961" t="s">
        <v>69</v>
      </c>
      <c r="L961" t="s">
        <v>40</v>
      </c>
      <c r="M961" t="s">
        <v>31</v>
      </c>
    </row>
    <row r="962" spans="1:13" x14ac:dyDescent="0.3">
      <c r="A962" t="s">
        <v>1459</v>
      </c>
      <c r="B962" t="s">
        <v>119</v>
      </c>
      <c r="C962">
        <v>71</v>
      </c>
      <c r="D962" t="s">
        <v>34</v>
      </c>
      <c r="E962" t="s">
        <v>117</v>
      </c>
      <c r="F962" t="s">
        <v>17</v>
      </c>
      <c r="G962" t="s">
        <v>36</v>
      </c>
      <c r="H962">
        <v>10985.37</v>
      </c>
      <c r="I962">
        <v>8</v>
      </c>
      <c r="J962" t="s">
        <v>28</v>
      </c>
      <c r="K962" t="s">
        <v>74</v>
      </c>
      <c r="L962" t="s">
        <v>21</v>
      </c>
      <c r="M962" t="s">
        <v>31</v>
      </c>
    </row>
    <row r="963" spans="1:13" x14ac:dyDescent="0.3">
      <c r="A963" t="s">
        <v>1460</v>
      </c>
      <c r="B963" t="s">
        <v>805</v>
      </c>
      <c r="C963">
        <v>73</v>
      </c>
      <c r="D963" t="s">
        <v>15</v>
      </c>
      <c r="E963" t="s">
        <v>16</v>
      </c>
      <c r="F963" t="s">
        <v>61</v>
      </c>
      <c r="G963" t="s">
        <v>80</v>
      </c>
      <c r="H963">
        <v>71622.81</v>
      </c>
      <c r="I963">
        <v>14</v>
      </c>
      <c r="J963" t="s">
        <v>19</v>
      </c>
      <c r="K963" t="s">
        <v>55</v>
      </c>
      <c r="L963" t="s">
        <v>30</v>
      </c>
      <c r="M963" t="s">
        <v>31</v>
      </c>
    </row>
    <row r="964" spans="1:13" x14ac:dyDescent="0.3">
      <c r="A964" t="s">
        <v>1461</v>
      </c>
      <c r="B964" t="s">
        <v>330</v>
      </c>
      <c r="C964">
        <v>27</v>
      </c>
      <c r="D964" t="s">
        <v>34</v>
      </c>
      <c r="E964" t="s">
        <v>35</v>
      </c>
      <c r="F964" t="s">
        <v>84</v>
      </c>
      <c r="G964" t="s">
        <v>80</v>
      </c>
      <c r="H964">
        <v>67945.7</v>
      </c>
      <c r="I964">
        <v>8</v>
      </c>
      <c r="J964" t="s">
        <v>19</v>
      </c>
      <c r="K964" t="s">
        <v>44</v>
      </c>
      <c r="L964" t="s">
        <v>45</v>
      </c>
      <c r="M964" t="s">
        <v>58</v>
      </c>
    </row>
    <row r="965" spans="1:13" x14ac:dyDescent="0.3">
      <c r="A965" t="s">
        <v>1462</v>
      </c>
      <c r="B965" t="s">
        <v>628</v>
      </c>
      <c r="C965">
        <v>4</v>
      </c>
      <c r="D965" t="s">
        <v>15</v>
      </c>
      <c r="E965" t="s">
        <v>64</v>
      </c>
      <c r="F965" t="s">
        <v>17</v>
      </c>
      <c r="G965" t="s">
        <v>36</v>
      </c>
      <c r="H965">
        <v>7433.33</v>
      </c>
      <c r="I965">
        <v>18</v>
      </c>
      <c r="J965" t="s">
        <v>28</v>
      </c>
      <c r="K965" t="s">
        <v>74</v>
      </c>
      <c r="L965" t="s">
        <v>51</v>
      </c>
      <c r="M965" t="s">
        <v>22</v>
      </c>
    </row>
    <row r="966" spans="1:13" x14ac:dyDescent="0.3">
      <c r="A966" t="s">
        <v>1463</v>
      </c>
      <c r="B966" t="s">
        <v>789</v>
      </c>
      <c r="C966">
        <v>89</v>
      </c>
      <c r="D966" t="s">
        <v>15</v>
      </c>
      <c r="E966" t="s">
        <v>16</v>
      </c>
      <c r="F966" t="s">
        <v>26</v>
      </c>
      <c r="G966" t="s">
        <v>54</v>
      </c>
      <c r="H966">
        <v>131309.37</v>
      </c>
      <c r="I966">
        <v>19</v>
      </c>
      <c r="J966" t="s">
        <v>28</v>
      </c>
      <c r="K966" t="s">
        <v>44</v>
      </c>
      <c r="L966" t="s">
        <v>21</v>
      </c>
      <c r="M966" t="s">
        <v>22</v>
      </c>
    </row>
    <row r="967" spans="1:13" x14ac:dyDescent="0.3">
      <c r="A967" t="s">
        <v>1464</v>
      </c>
      <c r="B967" t="s">
        <v>434</v>
      </c>
      <c r="C967">
        <v>80</v>
      </c>
      <c r="D967" t="s">
        <v>34</v>
      </c>
      <c r="E967" t="s">
        <v>83</v>
      </c>
      <c r="F967" t="s">
        <v>61</v>
      </c>
      <c r="G967" t="s">
        <v>80</v>
      </c>
      <c r="H967">
        <v>83478.570000000007</v>
      </c>
      <c r="I967">
        <v>7</v>
      </c>
      <c r="J967" t="s">
        <v>28</v>
      </c>
      <c r="K967" t="s">
        <v>20</v>
      </c>
      <c r="L967" t="s">
        <v>51</v>
      </c>
      <c r="M967" t="s">
        <v>58</v>
      </c>
    </row>
    <row r="968" spans="1:13" x14ac:dyDescent="0.3">
      <c r="A968" t="s">
        <v>1465</v>
      </c>
      <c r="B968" t="s">
        <v>923</v>
      </c>
      <c r="C968">
        <v>28</v>
      </c>
      <c r="D968" t="s">
        <v>34</v>
      </c>
      <c r="E968" t="s">
        <v>83</v>
      </c>
      <c r="F968" t="s">
        <v>61</v>
      </c>
      <c r="G968" t="s">
        <v>27</v>
      </c>
      <c r="H968">
        <v>20601.759999999998</v>
      </c>
      <c r="I968">
        <v>18</v>
      </c>
      <c r="J968" t="s">
        <v>28</v>
      </c>
      <c r="K968" t="s">
        <v>50</v>
      </c>
      <c r="L968" t="s">
        <v>45</v>
      </c>
      <c r="M968" t="s">
        <v>22</v>
      </c>
    </row>
    <row r="969" spans="1:13" x14ac:dyDescent="0.3">
      <c r="A969" t="s">
        <v>1466</v>
      </c>
      <c r="B969" t="s">
        <v>1467</v>
      </c>
      <c r="C969">
        <v>25</v>
      </c>
      <c r="D969" t="s">
        <v>15</v>
      </c>
      <c r="E969" t="s">
        <v>64</v>
      </c>
      <c r="F969" t="s">
        <v>17</v>
      </c>
      <c r="G969" t="s">
        <v>43</v>
      </c>
      <c r="H969">
        <v>106300.51</v>
      </c>
      <c r="I969">
        <v>12</v>
      </c>
      <c r="J969" t="s">
        <v>28</v>
      </c>
      <c r="K969" t="s">
        <v>50</v>
      </c>
      <c r="L969" t="s">
        <v>45</v>
      </c>
      <c r="M969" t="s">
        <v>22</v>
      </c>
    </row>
    <row r="970" spans="1:13" x14ac:dyDescent="0.3">
      <c r="A970" t="s">
        <v>1468</v>
      </c>
      <c r="B970" t="s">
        <v>254</v>
      </c>
      <c r="C970">
        <v>23</v>
      </c>
      <c r="D970" t="s">
        <v>34</v>
      </c>
      <c r="E970" t="s">
        <v>83</v>
      </c>
      <c r="F970" t="s">
        <v>26</v>
      </c>
      <c r="G970" t="s">
        <v>18</v>
      </c>
      <c r="H970">
        <v>35434.89</v>
      </c>
      <c r="I970">
        <v>1</v>
      </c>
      <c r="J970" t="s">
        <v>28</v>
      </c>
      <c r="K970" t="s">
        <v>20</v>
      </c>
      <c r="L970" t="s">
        <v>112</v>
      </c>
      <c r="M970" t="s">
        <v>31</v>
      </c>
    </row>
    <row r="971" spans="1:13" x14ac:dyDescent="0.3">
      <c r="A971" t="s">
        <v>1469</v>
      </c>
      <c r="B971" t="s">
        <v>570</v>
      </c>
      <c r="C971">
        <v>88</v>
      </c>
      <c r="D971" t="s">
        <v>34</v>
      </c>
      <c r="E971" t="s">
        <v>64</v>
      </c>
      <c r="F971" t="s">
        <v>61</v>
      </c>
      <c r="G971" t="s">
        <v>54</v>
      </c>
      <c r="H971">
        <v>148685.78</v>
      </c>
      <c r="I971">
        <v>4</v>
      </c>
      <c r="J971" t="s">
        <v>19</v>
      </c>
      <c r="K971" t="s">
        <v>55</v>
      </c>
      <c r="L971" t="s">
        <v>112</v>
      </c>
      <c r="M971" t="s">
        <v>22</v>
      </c>
    </row>
    <row r="972" spans="1:13" x14ac:dyDescent="0.3">
      <c r="A972" t="s">
        <v>1470</v>
      </c>
      <c r="B972" t="s">
        <v>1471</v>
      </c>
      <c r="C972">
        <v>6</v>
      </c>
      <c r="D972" t="s">
        <v>15</v>
      </c>
      <c r="E972" t="s">
        <v>64</v>
      </c>
      <c r="F972" t="s">
        <v>84</v>
      </c>
      <c r="G972" t="s">
        <v>80</v>
      </c>
      <c r="H972">
        <v>134982.15</v>
      </c>
      <c r="I972">
        <v>16</v>
      </c>
      <c r="J972" t="s">
        <v>28</v>
      </c>
      <c r="K972" t="s">
        <v>20</v>
      </c>
      <c r="L972" t="s">
        <v>30</v>
      </c>
      <c r="M972" t="s">
        <v>22</v>
      </c>
    </row>
    <row r="973" spans="1:13" x14ac:dyDescent="0.3">
      <c r="A973" t="s">
        <v>1472</v>
      </c>
      <c r="B973" t="s">
        <v>1265</v>
      </c>
      <c r="C973">
        <v>39</v>
      </c>
      <c r="D973" t="s">
        <v>15</v>
      </c>
      <c r="E973" t="s">
        <v>117</v>
      </c>
      <c r="F973" t="s">
        <v>26</v>
      </c>
      <c r="G973" t="s">
        <v>54</v>
      </c>
      <c r="H973">
        <v>64790.99</v>
      </c>
      <c r="I973">
        <v>16</v>
      </c>
      <c r="J973" t="s">
        <v>19</v>
      </c>
      <c r="K973" t="s">
        <v>69</v>
      </c>
      <c r="L973" t="s">
        <v>21</v>
      </c>
      <c r="M973" t="s">
        <v>58</v>
      </c>
    </row>
    <row r="974" spans="1:13" x14ac:dyDescent="0.3">
      <c r="A974" t="s">
        <v>1473</v>
      </c>
      <c r="B974" t="s">
        <v>560</v>
      </c>
      <c r="C974">
        <v>10</v>
      </c>
      <c r="D974" t="s">
        <v>15</v>
      </c>
      <c r="E974" t="s">
        <v>117</v>
      </c>
      <c r="F974" t="s">
        <v>79</v>
      </c>
      <c r="G974" t="s">
        <v>27</v>
      </c>
      <c r="H974">
        <v>3404.45</v>
      </c>
      <c r="I974">
        <v>16</v>
      </c>
      <c r="J974" t="s">
        <v>19</v>
      </c>
      <c r="K974" t="s">
        <v>29</v>
      </c>
      <c r="L974" t="s">
        <v>112</v>
      </c>
      <c r="M974" t="s">
        <v>31</v>
      </c>
    </row>
    <row r="975" spans="1:13" x14ac:dyDescent="0.3">
      <c r="A975" t="s">
        <v>1474</v>
      </c>
      <c r="B975" t="s">
        <v>1475</v>
      </c>
      <c r="C975">
        <v>11</v>
      </c>
      <c r="D975" t="s">
        <v>15</v>
      </c>
      <c r="E975" t="s">
        <v>83</v>
      </c>
      <c r="F975" t="s">
        <v>61</v>
      </c>
      <c r="G975" t="s">
        <v>27</v>
      </c>
      <c r="H975">
        <v>69643.350000000006</v>
      </c>
      <c r="I975">
        <v>3</v>
      </c>
      <c r="J975" t="s">
        <v>19</v>
      </c>
      <c r="K975" t="s">
        <v>29</v>
      </c>
      <c r="L975" t="s">
        <v>21</v>
      </c>
      <c r="M975" t="s">
        <v>58</v>
      </c>
    </row>
    <row r="976" spans="1:13" x14ac:dyDescent="0.3">
      <c r="A976" t="s">
        <v>1476</v>
      </c>
      <c r="B976" t="s">
        <v>647</v>
      </c>
      <c r="C976">
        <v>7</v>
      </c>
      <c r="D976" t="s">
        <v>15</v>
      </c>
      <c r="E976" t="s">
        <v>16</v>
      </c>
      <c r="F976" t="s">
        <v>79</v>
      </c>
      <c r="G976" t="s">
        <v>43</v>
      </c>
      <c r="H976">
        <v>55225.95</v>
      </c>
      <c r="I976">
        <v>1</v>
      </c>
      <c r="J976" t="s">
        <v>28</v>
      </c>
      <c r="K976" t="s">
        <v>55</v>
      </c>
      <c r="L976" t="s">
        <v>112</v>
      </c>
      <c r="M976" t="s">
        <v>22</v>
      </c>
    </row>
    <row r="977" spans="1:13" x14ac:dyDescent="0.3">
      <c r="A977" t="s">
        <v>1477</v>
      </c>
      <c r="B977" t="s">
        <v>946</v>
      </c>
      <c r="C977">
        <v>58</v>
      </c>
      <c r="D977" t="s">
        <v>34</v>
      </c>
      <c r="E977" t="s">
        <v>35</v>
      </c>
      <c r="F977" t="s">
        <v>79</v>
      </c>
      <c r="G977" t="s">
        <v>36</v>
      </c>
      <c r="H977">
        <v>129524</v>
      </c>
      <c r="I977">
        <v>1</v>
      </c>
      <c r="J977" t="s">
        <v>19</v>
      </c>
      <c r="K977" t="s">
        <v>69</v>
      </c>
      <c r="L977" t="s">
        <v>112</v>
      </c>
      <c r="M977" t="s">
        <v>31</v>
      </c>
    </row>
    <row r="978" spans="1:13" x14ac:dyDescent="0.3">
      <c r="A978" t="s">
        <v>1478</v>
      </c>
      <c r="B978" t="s">
        <v>103</v>
      </c>
      <c r="C978">
        <v>85</v>
      </c>
      <c r="D978" t="s">
        <v>15</v>
      </c>
      <c r="E978" t="s">
        <v>25</v>
      </c>
      <c r="F978" t="s">
        <v>84</v>
      </c>
      <c r="G978" t="s">
        <v>80</v>
      </c>
      <c r="H978">
        <v>143730.76</v>
      </c>
      <c r="I978">
        <v>16</v>
      </c>
      <c r="J978" t="s">
        <v>28</v>
      </c>
      <c r="K978" t="s">
        <v>74</v>
      </c>
      <c r="L978" t="s">
        <v>21</v>
      </c>
      <c r="M978" t="s">
        <v>31</v>
      </c>
    </row>
    <row r="979" spans="1:13" x14ac:dyDescent="0.3">
      <c r="A979" t="s">
        <v>1479</v>
      </c>
      <c r="B979" t="s">
        <v>1480</v>
      </c>
      <c r="C979">
        <v>57</v>
      </c>
      <c r="D979" t="s">
        <v>15</v>
      </c>
      <c r="E979" t="s">
        <v>16</v>
      </c>
      <c r="F979" t="s">
        <v>84</v>
      </c>
      <c r="G979" t="s">
        <v>54</v>
      </c>
      <c r="H979">
        <v>88209.11</v>
      </c>
      <c r="I979">
        <v>7</v>
      </c>
      <c r="J979" t="s">
        <v>19</v>
      </c>
      <c r="K979" t="s">
        <v>20</v>
      </c>
      <c r="L979" t="s">
        <v>112</v>
      </c>
      <c r="M979" t="s">
        <v>31</v>
      </c>
    </row>
    <row r="980" spans="1:13" x14ac:dyDescent="0.3">
      <c r="A980" t="s">
        <v>1481</v>
      </c>
      <c r="B980" t="s">
        <v>560</v>
      </c>
      <c r="C980">
        <v>80</v>
      </c>
      <c r="D980" t="s">
        <v>15</v>
      </c>
      <c r="E980" t="s">
        <v>35</v>
      </c>
      <c r="F980" t="s">
        <v>84</v>
      </c>
      <c r="G980" t="s">
        <v>27</v>
      </c>
      <c r="H980">
        <v>38449.410000000003</v>
      </c>
      <c r="I980">
        <v>3</v>
      </c>
      <c r="J980" t="s">
        <v>28</v>
      </c>
      <c r="K980" t="s">
        <v>69</v>
      </c>
      <c r="L980" t="s">
        <v>21</v>
      </c>
      <c r="M980" t="s">
        <v>58</v>
      </c>
    </row>
    <row r="981" spans="1:13" x14ac:dyDescent="0.3">
      <c r="A981" t="s">
        <v>1482</v>
      </c>
      <c r="B981" t="s">
        <v>1483</v>
      </c>
      <c r="C981">
        <v>44</v>
      </c>
      <c r="D981" t="s">
        <v>34</v>
      </c>
      <c r="E981" t="s">
        <v>64</v>
      </c>
      <c r="F981" t="s">
        <v>79</v>
      </c>
      <c r="G981" t="s">
        <v>36</v>
      </c>
      <c r="H981">
        <v>73061.56</v>
      </c>
      <c r="I981">
        <v>1</v>
      </c>
      <c r="J981" t="s">
        <v>19</v>
      </c>
      <c r="K981" t="s">
        <v>39</v>
      </c>
      <c r="L981" t="s">
        <v>21</v>
      </c>
      <c r="M981" t="s">
        <v>22</v>
      </c>
    </row>
    <row r="982" spans="1:13" x14ac:dyDescent="0.3">
      <c r="A982" t="s">
        <v>1484</v>
      </c>
      <c r="B982" t="s">
        <v>918</v>
      </c>
      <c r="C982">
        <v>68</v>
      </c>
      <c r="D982" t="s">
        <v>34</v>
      </c>
      <c r="E982" t="s">
        <v>25</v>
      </c>
      <c r="F982" t="s">
        <v>61</v>
      </c>
      <c r="G982" t="s">
        <v>43</v>
      </c>
      <c r="H982">
        <v>24956.01</v>
      </c>
      <c r="I982">
        <v>4</v>
      </c>
      <c r="J982" t="s">
        <v>19</v>
      </c>
      <c r="K982" t="s">
        <v>44</v>
      </c>
      <c r="L982" t="s">
        <v>30</v>
      </c>
      <c r="M982" t="s">
        <v>58</v>
      </c>
    </row>
    <row r="983" spans="1:13" x14ac:dyDescent="0.3">
      <c r="A983" t="s">
        <v>1485</v>
      </c>
      <c r="B983" t="s">
        <v>263</v>
      </c>
      <c r="C983">
        <v>5</v>
      </c>
      <c r="D983" t="s">
        <v>15</v>
      </c>
      <c r="E983" t="s">
        <v>64</v>
      </c>
      <c r="F983" t="s">
        <v>84</v>
      </c>
      <c r="G983" t="s">
        <v>27</v>
      </c>
      <c r="H983">
        <v>14098.38</v>
      </c>
      <c r="I983">
        <v>3</v>
      </c>
      <c r="J983" t="s">
        <v>19</v>
      </c>
      <c r="K983" t="s">
        <v>74</v>
      </c>
      <c r="L983" t="s">
        <v>21</v>
      </c>
      <c r="M983" t="s">
        <v>58</v>
      </c>
    </row>
    <row r="984" spans="1:13" x14ac:dyDescent="0.3">
      <c r="A984" t="s">
        <v>1486</v>
      </c>
      <c r="B984" t="s">
        <v>99</v>
      </c>
      <c r="C984">
        <v>84</v>
      </c>
      <c r="D984" t="s">
        <v>15</v>
      </c>
      <c r="E984" t="s">
        <v>64</v>
      </c>
      <c r="F984" t="s">
        <v>79</v>
      </c>
      <c r="G984" t="s">
        <v>36</v>
      </c>
      <c r="H984">
        <v>103805.49</v>
      </c>
      <c r="I984">
        <v>16</v>
      </c>
      <c r="J984" t="s">
        <v>28</v>
      </c>
      <c r="K984" t="s">
        <v>29</v>
      </c>
      <c r="L984" t="s">
        <v>45</v>
      </c>
      <c r="M984" t="s">
        <v>58</v>
      </c>
    </row>
    <row r="985" spans="1:13" x14ac:dyDescent="0.3">
      <c r="A985" t="s">
        <v>1487</v>
      </c>
      <c r="B985" t="s">
        <v>148</v>
      </c>
      <c r="C985">
        <v>2</v>
      </c>
      <c r="D985" t="s">
        <v>15</v>
      </c>
      <c r="E985" t="s">
        <v>25</v>
      </c>
      <c r="F985" t="s">
        <v>61</v>
      </c>
      <c r="G985" t="s">
        <v>18</v>
      </c>
      <c r="H985">
        <v>5118.67</v>
      </c>
      <c r="I985">
        <v>11</v>
      </c>
      <c r="J985" t="s">
        <v>28</v>
      </c>
      <c r="K985" t="s">
        <v>29</v>
      </c>
      <c r="L985" t="s">
        <v>40</v>
      </c>
      <c r="M985" t="s">
        <v>58</v>
      </c>
    </row>
    <row r="986" spans="1:13" x14ac:dyDescent="0.3">
      <c r="A986" t="s">
        <v>1488</v>
      </c>
      <c r="B986" t="s">
        <v>168</v>
      </c>
      <c r="C986">
        <v>54</v>
      </c>
      <c r="D986" t="s">
        <v>15</v>
      </c>
      <c r="E986" t="s">
        <v>117</v>
      </c>
      <c r="F986" t="s">
        <v>61</v>
      </c>
      <c r="G986" t="s">
        <v>43</v>
      </c>
      <c r="H986">
        <v>113822.43</v>
      </c>
      <c r="I986">
        <v>6</v>
      </c>
      <c r="J986" t="s">
        <v>19</v>
      </c>
      <c r="K986" t="s">
        <v>44</v>
      </c>
      <c r="L986" t="s">
        <v>40</v>
      </c>
      <c r="M986" t="s">
        <v>58</v>
      </c>
    </row>
    <row r="987" spans="1:13" x14ac:dyDescent="0.3">
      <c r="A987" t="s">
        <v>1489</v>
      </c>
      <c r="B987" t="s">
        <v>726</v>
      </c>
      <c r="C987">
        <v>48</v>
      </c>
      <c r="D987" t="s">
        <v>34</v>
      </c>
      <c r="E987" t="s">
        <v>83</v>
      </c>
      <c r="F987" t="s">
        <v>84</v>
      </c>
      <c r="G987" t="s">
        <v>18</v>
      </c>
      <c r="H987">
        <v>64075.05</v>
      </c>
      <c r="I987">
        <v>20</v>
      </c>
      <c r="J987" t="s">
        <v>28</v>
      </c>
      <c r="K987" t="s">
        <v>50</v>
      </c>
      <c r="L987" t="s">
        <v>30</v>
      </c>
      <c r="M987" t="s">
        <v>22</v>
      </c>
    </row>
    <row r="988" spans="1:13" x14ac:dyDescent="0.3">
      <c r="A988" t="s">
        <v>1490</v>
      </c>
      <c r="B988" t="s">
        <v>1435</v>
      </c>
      <c r="C988">
        <v>52</v>
      </c>
      <c r="D988" t="s">
        <v>15</v>
      </c>
      <c r="E988" t="s">
        <v>64</v>
      </c>
      <c r="F988" t="s">
        <v>84</v>
      </c>
      <c r="G988" t="s">
        <v>27</v>
      </c>
      <c r="H988">
        <v>3274.6</v>
      </c>
      <c r="I988">
        <v>19</v>
      </c>
      <c r="J988" t="s">
        <v>19</v>
      </c>
      <c r="K988" t="s">
        <v>55</v>
      </c>
      <c r="L988" t="s">
        <v>21</v>
      </c>
      <c r="M988" t="s">
        <v>22</v>
      </c>
    </row>
    <row r="989" spans="1:13" x14ac:dyDescent="0.3">
      <c r="A989" t="s">
        <v>1491</v>
      </c>
      <c r="B989" t="s">
        <v>741</v>
      </c>
      <c r="C989">
        <v>19</v>
      </c>
      <c r="D989" t="s">
        <v>15</v>
      </c>
      <c r="E989" t="s">
        <v>16</v>
      </c>
      <c r="F989" t="s">
        <v>17</v>
      </c>
      <c r="G989" t="s">
        <v>18</v>
      </c>
      <c r="H989">
        <v>106537.54</v>
      </c>
      <c r="I989">
        <v>9</v>
      </c>
      <c r="J989" t="s">
        <v>28</v>
      </c>
      <c r="K989" t="s">
        <v>50</v>
      </c>
      <c r="L989" t="s">
        <v>51</v>
      </c>
      <c r="M989" t="s">
        <v>31</v>
      </c>
    </row>
    <row r="990" spans="1:13" x14ac:dyDescent="0.3">
      <c r="A990" t="s">
        <v>1492</v>
      </c>
      <c r="B990" t="s">
        <v>901</v>
      </c>
      <c r="C990">
        <v>90</v>
      </c>
      <c r="D990" t="s">
        <v>15</v>
      </c>
      <c r="E990" t="s">
        <v>117</v>
      </c>
      <c r="F990" t="s">
        <v>17</v>
      </c>
      <c r="G990" t="s">
        <v>27</v>
      </c>
      <c r="H990">
        <v>24810.400000000001</v>
      </c>
      <c r="I990">
        <v>17</v>
      </c>
      <c r="J990" t="s">
        <v>28</v>
      </c>
      <c r="K990" t="s">
        <v>20</v>
      </c>
      <c r="L990" t="s">
        <v>30</v>
      </c>
      <c r="M990" t="s">
        <v>58</v>
      </c>
    </row>
    <row r="991" spans="1:13" x14ac:dyDescent="0.3">
      <c r="A991" t="s">
        <v>1493</v>
      </c>
      <c r="B991" t="s">
        <v>1246</v>
      </c>
      <c r="C991">
        <v>83</v>
      </c>
      <c r="D991" t="s">
        <v>15</v>
      </c>
      <c r="E991" t="s">
        <v>83</v>
      </c>
      <c r="F991" t="s">
        <v>79</v>
      </c>
      <c r="G991" t="s">
        <v>36</v>
      </c>
      <c r="H991">
        <v>33674.1</v>
      </c>
      <c r="I991">
        <v>12</v>
      </c>
      <c r="J991" t="s">
        <v>19</v>
      </c>
      <c r="K991" t="s">
        <v>69</v>
      </c>
      <c r="L991" t="s">
        <v>51</v>
      </c>
      <c r="M991" t="s">
        <v>58</v>
      </c>
    </row>
    <row r="992" spans="1:13" x14ac:dyDescent="0.3">
      <c r="A992" t="s">
        <v>1494</v>
      </c>
      <c r="B992" t="s">
        <v>1091</v>
      </c>
      <c r="C992">
        <v>86</v>
      </c>
      <c r="D992" t="s">
        <v>15</v>
      </c>
      <c r="E992" t="s">
        <v>64</v>
      </c>
      <c r="F992" t="s">
        <v>61</v>
      </c>
      <c r="G992" t="s">
        <v>18</v>
      </c>
      <c r="H992">
        <v>37425.620000000003</v>
      </c>
      <c r="I992">
        <v>15</v>
      </c>
      <c r="J992" t="s">
        <v>19</v>
      </c>
      <c r="K992" t="s">
        <v>74</v>
      </c>
      <c r="L992" t="s">
        <v>112</v>
      </c>
      <c r="M992" t="s">
        <v>31</v>
      </c>
    </row>
    <row r="993" spans="1:13" x14ac:dyDescent="0.3">
      <c r="A993" t="s">
        <v>1495</v>
      </c>
      <c r="B993" t="s">
        <v>1496</v>
      </c>
      <c r="C993">
        <v>48</v>
      </c>
      <c r="D993" t="s">
        <v>15</v>
      </c>
      <c r="E993" t="s">
        <v>117</v>
      </c>
      <c r="F993" t="s">
        <v>79</v>
      </c>
      <c r="G993" t="s">
        <v>18</v>
      </c>
      <c r="H993">
        <v>74144.72</v>
      </c>
      <c r="I993">
        <v>8</v>
      </c>
      <c r="J993" t="s">
        <v>28</v>
      </c>
      <c r="K993" t="s">
        <v>69</v>
      </c>
      <c r="L993" t="s">
        <v>51</v>
      </c>
      <c r="M993" t="s">
        <v>31</v>
      </c>
    </row>
    <row r="994" spans="1:13" x14ac:dyDescent="0.3">
      <c r="A994" t="s">
        <v>1497</v>
      </c>
      <c r="B994" t="s">
        <v>344</v>
      </c>
      <c r="C994">
        <v>75</v>
      </c>
      <c r="D994" t="s">
        <v>34</v>
      </c>
      <c r="E994" t="s">
        <v>117</v>
      </c>
      <c r="F994" t="s">
        <v>84</v>
      </c>
      <c r="G994" t="s">
        <v>80</v>
      </c>
      <c r="H994">
        <v>35824.51</v>
      </c>
      <c r="I994">
        <v>18</v>
      </c>
      <c r="J994" t="s">
        <v>28</v>
      </c>
      <c r="K994" t="s">
        <v>50</v>
      </c>
      <c r="L994" t="s">
        <v>21</v>
      </c>
      <c r="M994" t="s">
        <v>31</v>
      </c>
    </row>
    <row r="995" spans="1:13" x14ac:dyDescent="0.3">
      <c r="A995" t="s">
        <v>1498</v>
      </c>
      <c r="B995" t="s">
        <v>353</v>
      </c>
      <c r="C995">
        <v>43</v>
      </c>
      <c r="D995" t="s">
        <v>34</v>
      </c>
      <c r="E995" t="s">
        <v>64</v>
      </c>
      <c r="F995" t="s">
        <v>26</v>
      </c>
      <c r="G995" t="s">
        <v>54</v>
      </c>
      <c r="H995">
        <v>127735.26</v>
      </c>
      <c r="I995">
        <v>12</v>
      </c>
      <c r="J995" t="s">
        <v>28</v>
      </c>
      <c r="K995" t="s">
        <v>74</v>
      </c>
      <c r="L995" t="s">
        <v>45</v>
      </c>
      <c r="M995" t="s">
        <v>31</v>
      </c>
    </row>
    <row r="996" spans="1:13" x14ac:dyDescent="0.3">
      <c r="A996" t="s">
        <v>1499</v>
      </c>
      <c r="B996" t="s">
        <v>841</v>
      </c>
      <c r="C996">
        <v>59</v>
      </c>
      <c r="D996" t="s">
        <v>34</v>
      </c>
      <c r="E996" t="s">
        <v>64</v>
      </c>
      <c r="F996" t="s">
        <v>84</v>
      </c>
      <c r="G996" t="s">
        <v>18</v>
      </c>
      <c r="H996">
        <v>85194.52</v>
      </c>
      <c r="I996">
        <v>12</v>
      </c>
      <c r="J996" t="s">
        <v>19</v>
      </c>
      <c r="K996" t="s">
        <v>29</v>
      </c>
      <c r="L996" t="s">
        <v>51</v>
      </c>
      <c r="M996" t="s">
        <v>31</v>
      </c>
    </row>
    <row r="997" spans="1:13" x14ac:dyDescent="0.3">
      <c r="A997" t="s">
        <v>1500</v>
      </c>
      <c r="B997" t="s">
        <v>1347</v>
      </c>
      <c r="C997">
        <v>1</v>
      </c>
      <c r="D997" t="s">
        <v>15</v>
      </c>
      <c r="E997" t="s">
        <v>35</v>
      </c>
      <c r="F997" t="s">
        <v>26</v>
      </c>
      <c r="G997" t="s">
        <v>80</v>
      </c>
      <c r="H997">
        <v>16419.46</v>
      </c>
      <c r="I997">
        <v>19</v>
      </c>
      <c r="J997" t="s">
        <v>19</v>
      </c>
      <c r="K997" t="s">
        <v>69</v>
      </c>
      <c r="L997" t="s">
        <v>112</v>
      </c>
      <c r="M997" t="s">
        <v>31</v>
      </c>
    </row>
    <row r="998" spans="1:13" x14ac:dyDescent="0.3">
      <c r="A998" t="s">
        <v>1501</v>
      </c>
      <c r="B998" t="s">
        <v>76</v>
      </c>
      <c r="C998">
        <v>10</v>
      </c>
      <c r="D998" t="s">
        <v>34</v>
      </c>
      <c r="E998" t="s">
        <v>25</v>
      </c>
      <c r="F998" t="s">
        <v>26</v>
      </c>
      <c r="G998" t="s">
        <v>36</v>
      </c>
      <c r="H998">
        <v>8846.02</v>
      </c>
      <c r="I998">
        <v>4</v>
      </c>
      <c r="J998" t="s">
        <v>28</v>
      </c>
      <c r="K998" t="s">
        <v>44</v>
      </c>
      <c r="L998" t="s">
        <v>30</v>
      </c>
      <c r="M998" t="s">
        <v>22</v>
      </c>
    </row>
    <row r="999" spans="1:13" x14ac:dyDescent="0.3">
      <c r="A999" t="s">
        <v>1502</v>
      </c>
      <c r="B999" t="s">
        <v>1503</v>
      </c>
      <c r="C999">
        <v>64</v>
      </c>
      <c r="D999" t="s">
        <v>34</v>
      </c>
      <c r="E999" t="s">
        <v>83</v>
      </c>
      <c r="F999" t="s">
        <v>26</v>
      </c>
      <c r="G999" t="s">
        <v>54</v>
      </c>
      <c r="H999">
        <v>19680.14</v>
      </c>
      <c r="I999">
        <v>15</v>
      </c>
      <c r="J999" t="s">
        <v>19</v>
      </c>
      <c r="K999" t="s">
        <v>29</v>
      </c>
      <c r="L999" t="s">
        <v>40</v>
      </c>
      <c r="M999" t="s">
        <v>31</v>
      </c>
    </row>
    <row r="1000" spans="1:13" x14ac:dyDescent="0.3">
      <c r="A1000" t="s">
        <v>1504</v>
      </c>
      <c r="B1000" t="s">
        <v>1505</v>
      </c>
      <c r="C1000">
        <v>23</v>
      </c>
      <c r="D1000" t="s">
        <v>15</v>
      </c>
      <c r="E1000" t="s">
        <v>35</v>
      </c>
      <c r="F1000" t="s">
        <v>79</v>
      </c>
      <c r="G1000" t="s">
        <v>54</v>
      </c>
      <c r="H1000">
        <v>68988.14</v>
      </c>
      <c r="I1000">
        <v>14</v>
      </c>
      <c r="J1000" t="s">
        <v>28</v>
      </c>
      <c r="K1000" t="s">
        <v>69</v>
      </c>
      <c r="L1000" t="s">
        <v>51</v>
      </c>
      <c r="M1000" t="s">
        <v>22</v>
      </c>
    </row>
    <row r="1001" spans="1:13" x14ac:dyDescent="0.3">
      <c r="A1001" t="s">
        <v>1506</v>
      </c>
      <c r="B1001" t="s">
        <v>121</v>
      </c>
      <c r="C1001">
        <v>46</v>
      </c>
      <c r="D1001" t="s">
        <v>34</v>
      </c>
      <c r="E1001" t="s">
        <v>25</v>
      </c>
      <c r="F1001" t="s">
        <v>89</v>
      </c>
      <c r="G1001" t="s">
        <v>27</v>
      </c>
      <c r="H1001">
        <v>143963.72</v>
      </c>
      <c r="I1001">
        <v>1</v>
      </c>
      <c r="J1001" t="s">
        <v>28</v>
      </c>
      <c r="K1001" t="s">
        <v>44</v>
      </c>
      <c r="L1001" t="s">
        <v>21</v>
      </c>
      <c r="M1001"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746E9-C41B-477C-B778-489483CF38C8}">
  <dimension ref="A3:D212"/>
  <sheetViews>
    <sheetView workbookViewId="0">
      <selection activeCell="F14" sqref="F14"/>
    </sheetView>
  </sheetViews>
  <sheetFormatPr defaultRowHeight="14.4" x14ac:dyDescent="0.3"/>
  <cols>
    <col min="1" max="1" width="12.5546875" bestFit="1" customWidth="1"/>
    <col min="2" max="3" width="21.109375" bestFit="1" customWidth="1"/>
  </cols>
  <sheetData>
    <row r="3" spans="1:2" x14ac:dyDescent="0.3">
      <c r="A3" s="1" t="s">
        <v>1507</v>
      </c>
      <c r="B3" t="s">
        <v>1509</v>
      </c>
    </row>
    <row r="4" spans="1:2" x14ac:dyDescent="0.3">
      <c r="A4" s="2" t="s">
        <v>34</v>
      </c>
      <c r="B4" s="8">
        <v>509</v>
      </c>
    </row>
    <row r="5" spans="1:2" x14ac:dyDescent="0.3">
      <c r="A5" s="2" t="s">
        <v>15</v>
      </c>
      <c r="B5" s="8">
        <v>491</v>
      </c>
    </row>
    <row r="6" spans="1:2" x14ac:dyDescent="0.3">
      <c r="A6" s="2" t="s">
        <v>1508</v>
      </c>
      <c r="B6" s="8">
        <v>1000</v>
      </c>
    </row>
    <row r="9" spans="1:2" x14ac:dyDescent="0.3">
      <c r="A9" s="1" t="s">
        <v>1507</v>
      </c>
      <c r="B9" t="s">
        <v>1509</v>
      </c>
    </row>
    <row r="10" spans="1:2" x14ac:dyDescent="0.3">
      <c r="A10" s="2" t="s">
        <v>83</v>
      </c>
      <c r="B10" s="8">
        <v>165</v>
      </c>
    </row>
    <row r="11" spans="1:2" x14ac:dyDescent="0.3">
      <c r="A11" s="2" t="s">
        <v>35</v>
      </c>
      <c r="B11" s="8">
        <v>162</v>
      </c>
    </row>
    <row r="12" spans="1:2" x14ac:dyDescent="0.3">
      <c r="A12" s="2" t="s">
        <v>25</v>
      </c>
      <c r="B12" s="8">
        <v>155</v>
      </c>
    </row>
    <row r="13" spans="1:2" x14ac:dyDescent="0.3">
      <c r="A13" s="2" t="s">
        <v>16</v>
      </c>
      <c r="B13" s="8">
        <v>188</v>
      </c>
    </row>
    <row r="14" spans="1:2" x14ac:dyDescent="0.3">
      <c r="A14" s="2" t="s">
        <v>117</v>
      </c>
      <c r="B14" s="8">
        <v>157</v>
      </c>
    </row>
    <row r="15" spans="1:2" x14ac:dyDescent="0.3">
      <c r="A15" s="2" t="s">
        <v>64</v>
      </c>
      <c r="B15" s="8">
        <v>173</v>
      </c>
    </row>
    <row r="16" spans="1:2" x14ac:dyDescent="0.3">
      <c r="A16" s="2" t="s">
        <v>1508</v>
      </c>
      <c r="B16" s="8">
        <v>1000</v>
      </c>
    </row>
    <row r="19" spans="1:2" x14ac:dyDescent="0.3">
      <c r="A19" s="1" t="s">
        <v>1507</v>
      </c>
      <c r="B19" t="s">
        <v>1509</v>
      </c>
    </row>
    <row r="20" spans="1:2" x14ac:dyDescent="0.3">
      <c r="A20" s="2" t="s">
        <v>54</v>
      </c>
      <c r="B20" s="8">
        <v>167</v>
      </c>
    </row>
    <row r="21" spans="1:2" x14ac:dyDescent="0.3">
      <c r="A21" s="2" t="s">
        <v>80</v>
      </c>
      <c r="B21" s="8">
        <v>144</v>
      </c>
    </row>
    <row r="22" spans="1:2" x14ac:dyDescent="0.3">
      <c r="A22" s="2" t="s">
        <v>27</v>
      </c>
      <c r="B22" s="8">
        <v>186</v>
      </c>
    </row>
    <row r="23" spans="1:2" x14ac:dyDescent="0.3">
      <c r="A23" s="2" t="s">
        <v>18</v>
      </c>
      <c r="B23" s="8">
        <v>165</v>
      </c>
    </row>
    <row r="24" spans="1:2" x14ac:dyDescent="0.3">
      <c r="A24" s="2" t="s">
        <v>43</v>
      </c>
      <c r="B24" s="8">
        <v>179</v>
      </c>
    </row>
    <row r="25" spans="1:2" x14ac:dyDescent="0.3">
      <c r="A25" s="2" t="s">
        <v>36</v>
      </c>
      <c r="B25" s="8">
        <v>159</v>
      </c>
    </row>
    <row r="26" spans="1:2" x14ac:dyDescent="0.3">
      <c r="A26" s="2" t="s">
        <v>1508</v>
      </c>
      <c r="B26" s="8">
        <v>1000</v>
      </c>
    </row>
    <row r="29" spans="1:2" x14ac:dyDescent="0.3">
      <c r="A29" s="1" t="s">
        <v>1507</v>
      </c>
      <c r="B29" t="s">
        <v>1511</v>
      </c>
    </row>
    <row r="30" spans="1:2" x14ac:dyDescent="0.3">
      <c r="A30" s="2" t="s">
        <v>83</v>
      </c>
      <c r="B30" s="4">
        <v>75949.725454545493</v>
      </c>
    </row>
    <row r="31" spans="1:2" x14ac:dyDescent="0.3">
      <c r="A31" s="2" t="s">
        <v>35</v>
      </c>
      <c r="B31" s="4">
        <v>77086.143395061692</v>
      </c>
    </row>
    <row r="32" spans="1:2" x14ac:dyDescent="0.3">
      <c r="A32" s="2" t="s">
        <v>25</v>
      </c>
      <c r="B32" s="4">
        <v>75196.481032258074</v>
      </c>
    </row>
    <row r="33" spans="1:2" x14ac:dyDescent="0.3">
      <c r="A33" s="2" t="s">
        <v>16</v>
      </c>
      <c r="B33" s="4">
        <v>74729.235106382941</v>
      </c>
    </row>
    <row r="34" spans="1:2" x14ac:dyDescent="0.3">
      <c r="A34" s="2" t="s">
        <v>117</v>
      </c>
      <c r="B34" s="4">
        <v>71505.213184713386</v>
      </c>
    </row>
    <row r="35" spans="1:2" x14ac:dyDescent="0.3">
      <c r="A35" s="2" t="s">
        <v>64</v>
      </c>
      <c r="B35" s="4">
        <v>82316.894682080892</v>
      </c>
    </row>
    <row r="36" spans="1:2" x14ac:dyDescent="0.3">
      <c r="A36" s="2" t="s">
        <v>1508</v>
      </c>
      <c r="B36" s="4">
        <v>76191.351940000037</v>
      </c>
    </row>
    <row r="39" spans="1:2" x14ac:dyDescent="0.3">
      <c r="A39" s="1" t="s">
        <v>1507</v>
      </c>
      <c r="B39" t="s">
        <v>1509</v>
      </c>
    </row>
    <row r="40" spans="1:2" x14ac:dyDescent="0.3">
      <c r="A40" s="2" t="s">
        <v>28</v>
      </c>
      <c r="B40" s="8">
        <v>534</v>
      </c>
    </row>
    <row r="41" spans="1:2" x14ac:dyDescent="0.3">
      <c r="A41" s="2" t="s">
        <v>19</v>
      </c>
      <c r="B41" s="8">
        <v>466</v>
      </c>
    </row>
    <row r="42" spans="1:2" x14ac:dyDescent="0.3">
      <c r="A42" s="2" t="s">
        <v>1508</v>
      </c>
      <c r="B42" s="8">
        <v>1000</v>
      </c>
    </row>
    <row r="45" spans="1:2" x14ac:dyDescent="0.3">
      <c r="A45" s="1" t="s">
        <v>1507</v>
      </c>
      <c r="B45" t="s">
        <v>1509</v>
      </c>
    </row>
    <row r="46" spans="1:2" x14ac:dyDescent="0.3">
      <c r="A46" s="2" t="s">
        <v>40</v>
      </c>
      <c r="B46" s="8">
        <v>178</v>
      </c>
    </row>
    <row r="47" spans="1:2" x14ac:dyDescent="0.3">
      <c r="A47" s="2" t="s">
        <v>21</v>
      </c>
      <c r="B47" s="8">
        <v>162</v>
      </c>
    </row>
    <row r="48" spans="1:2" x14ac:dyDescent="0.3">
      <c r="A48" s="2" t="s">
        <v>112</v>
      </c>
      <c r="B48" s="8">
        <v>192</v>
      </c>
    </row>
    <row r="49" spans="1:2" x14ac:dyDescent="0.3">
      <c r="A49" s="2" t="s">
        <v>45</v>
      </c>
      <c r="B49" s="8">
        <v>156</v>
      </c>
    </row>
    <row r="50" spans="1:2" x14ac:dyDescent="0.3">
      <c r="A50" s="2" t="s">
        <v>30</v>
      </c>
      <c r="B50" s="8">
        <v>144</v>
      </c>
    </row>
    <row r="51" spans="1:2" x14ac:dyDescent="0.3">
      <c r="A51" s="2" t="s">
        <v>51</v>
      </c>
      <c r="B51" s="8">
        <v>168</v>
      </c>
    </row>
    <row r="52" spans="1:2" x14ac:dyDescent="0.3">
      <c r="A52" s="2" t="s">
        <v>1508</v>
      </c>
      <c r="B52" s="8">
        <v>1000</v>
      </c>
    </row>
    <row r="85" spans="1:3" x14ac:dyDescent="0.3">
      <c r="A85" t="s">
        <v>1509</v>
      </c>
      <c r="B85">
        <f>GETPIVOTDATA("Patient_ID",$A$85)</f>
        <v>1000</v>
      </c>
    </row>
    <row r="86" spans="1:3" x14ac:dyDescent="0.3">
      <c r="A86" s="8">
        <v>1000</v>
      </c>
    </row>
    <row r="88" spans="1:3" x14ac:dyDescent="0.3">
      <c r="A88" t="s">
        <v>1510</v>
      </c>
      <c r="B88">
        <f>GETPIVOTDATA("Treatment_Cost",$A$88)</f>
        <v>76191351.939999938</v>
      </c>
    </row>
    <row r="89" spans="1:3" x14ac:dyDescent="0.3">
      <c r="A89" s="8">
        <v>76191351.939999938</v>
      </c>
    </row>
    <row r="91" spans="1:3" x14ac:dyDescent="0.3">
      <c r="A91" t="s">
        <v>1511</v>
      </c>
      <c r="B91">
        <f>GETPIVOTDATA("Treatment_Cost",$A$91)</f>
        <v>76191.351939999935</v>
      </c>
    </row>
    <row r="92" spans="1:3" x14ac:dyDescent="0.3">
      <c r="A92" s="8">
        <v>76191.351939999935</v>
      </c>
    </row>
    <row r="94" spans="1:3" x14ac:dyDescent="0.3">
      <c r="A94" s="1" t="s">
        <v>1507</v>
      </c>
      <c r="B94" t="s">
        <v>1509</v>
      </c>
    </row>
    <row r="95" spans="1:3" x14ac:dyDescent="0.3">
      <c r="A95" s="2" t="s">
        <v>28</v>
      </c>
      <c r="B95" s="5">
        <v>0.53400000000000003</v>
      </c>
    </row>
    <row r="96" spans="1:3" x14ac:dyDescent="0.3">
      <c r="A96" s="2" t="s">
        <v>19</v>
      </c>
      <c r="B96" s="5">
        <v>0.46600000000000003</v>
      </c>
      <c r="C96" s="6">
        <f>GETPIVOTDATA("Patient_ID",$A$94,"Insurance","Yes")</f>
        <v>0.46600000000000003</v>
      </c>
    </row>
    <row r="97" spans="1:4" x14ac:dyDescent="0.3">
      <c r="A97" s="2" t="s">
        <v>1508</v>
      </c>
      <c r="B97" s="5">
        <v>1</v>
      </c>
    </row>
    <row r="100" spans="1:4" x14ac:dyDescent="0.3">
      <c r="A100" t="s">
        <v>1512</v>
      </c>
      <c r="B100" s="7">
        <f>GETPIVOTDATA("Age",$A$100)</f>
        <v>45.893000000000001</v>
      </c>
    </row>
    <row r="101" spans="1:4" x14ac:dyDescent="0.3">
      <c r="A101" s="4">
        <v>45.893000000000001</v>
      </c>
    </row>
    <row r="104" spans="1:4" x14ac:dyDescent="0.3">
      <c r="A104" s="1" t="s">
        <v>1507</v>
      </c>
      <c r="B104" t="s">
        <v>1510</v>
      </c>
    </row>
    <row r="105" spans="1:4" x14ac:dyDescent="0.3">
      <c r="A105" s="2" t="s">
        <v>83</v>
      </c>
      <c r="B105" s="7">
        <v>12531704.700000007</v>
      </c>
      <c r="C105" t="str" cm="1">
        <f t="array" ref="C105:D110">A105:B110</f>
        <v>Cardiology</v>
      </c>
      <c r="D105">
        <v>12531704.700000007</v>
      </c>
    </row>
    <row r="106" spans="1:4" x14ac:dyDescent="0.3">
      <c r="A106" s="2" t="s">
        <v>35</v>
      </c>
      <c r="B106" s="7">
        <v>12487955.229999995</v>
      </c>
      <c r="C106" t="str">
        <v>ENT</v>
      </c>
      <c r="D106">
        <v>12487955.229999995</v>
      </c>
    </row>
    <row r="107" spans="1:4" x14ac:dyDescent="0.3">
      <c r="A107" s="2" t="s">
        <v>25</v>
      </c>
      <c r="B107" s="7">
        <v>11655454.560000002</v>
      </c>
      <c r="C107" t="str">
        <v>General Medicine</v>
      </c>
      <c r="D107">
        <v>11655454.560000002</v>
      </c>
    </row>
    <row r="108" spans="1:4" x14ac:dyDescent="0.3">
      <c r="A108" s="2" t="s">
        <v>16</v>
      </c>
      <c r="B108" s="7">
        <v>14049096.199999992</v>
      </c>
      <c r="C108" t="str">
        <v>Neurology</v>
      </c>
      <c r="D108">
        <v>14049096.199999992</v>
      </c>
    </row>
    <row r="109" spans="1:4" x14ac:dyDescent="0.3">
      <c r="A109" s="2" t="s">
        <v>117</v>
      </c>
      <c r="B109" s="7">
        <v>11226318.470000001</v>
      </c>
      <c r="C109" t="str">
        <v>Orthopedics</v>
      </c>
      <c r="D109">
        <v>11226318.470000001</v>
      </c>
    </row>
    <row r="110" spans="1:4" x14ac:dyDescent="0.3">
      <c r="A110" s="2" t="s">
        <v>64</v>
      </c>
      <c r="B110" s="7">
        <v>14240822.779999996</v>
      </c>
      <c r="C110" t="str">
        <v>Pediatrics</v>
      </c>
      <c r="D110">
        <v>14240822.779999996</v>
      </c>
    </row>
    <row r="111" spans="1:4" x14ac:dyDescent="0.3">
      <c r="A111" s="2" t="s">
        <v>1508</v>
      </c>
      <c r="B111" s="7">
        <v>76191351.939999998</v>
      </c>
    </row>
    <row r="114" spans="1:4" x14ac:dyDescent="0.3">
      <c r="A114" s="1" t="s">
        <v>1507</v>
      </c>
      <c r="B114" t="s">
        <v>1510</v>
      </c>
    </row>
    <row r="115" spans="1:4" x14ac:dyDescent="0.3">
      <c r="A115" s="2">
        <v>1</v>
      </c>
      <c r="B115" s="7">
        <v>586018.77999999991</v>
      </c>
    </row>
    <row r="116" spans="1:4" x14ac:dyDescent="0.3">
      <c r="A116" s="2">
        <v>2</v>
      </c>
      <c r="B116" s="7">
        <v>643531.80000000005</v>
      </c>
    </row>
    <row r="117" spans="1:4" x14ac:dyDescent="0.3">
      <c r="A117" s="2">
        <v>3</v>
      </c>
      <c r="B117" s="7">
        <v>1091491.0899999999</v>
      </c>
    </row>
    <row r="118" spans="1:4" x14ac:dyDescent="0.3">
      <c r="A118" s="2">
        <v>4</v>
      </c>
      <c r="B118" s="7">
        <v>1108562.31</v>
      </c>
    </row>
    <row r="119" spans="1:4" x14ac:dyDescent="0.3">
      <c r="A119" s="2">
        <v>5</v>
      </c>
      <c r="B119" s="7">
        <v>716956.77999999991</v>
      </c>
    </row>
    <row r="120" spans="1:4" x14ac:dyDescent="0.3">
      <c r="A120" s="2">
        <v>6</v>
      </c>
      <c r="B120" s="7">
        <v>671099.86</v>
      </c>
    </row>
    <row r="121" spans="1:4" x14ac:dyDescent="0.3">
      <c r="A121" s="2">
        <v>7</v>
      </c>
      <c r="B121" s="7">
        <v>572622.49</v>
      </c>
    </row>
    <row r="122" spans="1:4" x14ac:dyDescent="0.3">
      <c r="A122" s="2">
        <v>8</v>
      </c>
      <c r="B122" s="7">
        <v>638107.69000000006</v>
      </c>
    </row>
    <row r="123" spans="1:4" x14ac:dyDescent="0.3">
      <c r="A123" s="2">
        <v>9</v>
      </c>
      <c r="B123" s="7">
        <v>730446.57000000007</v>
      </c>
      <c r="C123" cm="1">
        <f t="array" ref="C123:D212">A115:B204</f>
        <v>1</v>
      </c>
      <c r="D123">
        <v>586018.77999999991</v>
      </c>
    </row>
    <row r="124" spans="1:4" x14ac:dyDescent="0.3">
      <c r="A124" s="2">
        <v>10</v>
      </c>
      <c r="B124" s="7">
        <v>795336.3899999999</v>
      </c>
      <c r="C124">
        <v>2</v>
      </c>
      <c r="D124">
        <v>643531.80000000005</v>
      </c>
    </row>
    <row r="125" spans="1:4" x14ac:dyDescent="0.3">
      <c r="A125" s="2">
        <v>11</v>
      </c>
      <c r="B125" s="7">
        <v>1032079.8399999999</v>
      </c>
      <c r="C125">
        <v>3</v>
      </c>
      <c r="D125">
        <v>1091491.0899999999</v>
      </c>
    </row>
    <row r="126" spans="1:4" x14ac:dyDescent="0.3">
      <c r="A126" s="2">
        <v>12</v>
      </c>
      <c r="B126" s="7">
        <v>662203.64</v>
      </c>
      <c r="C126">
        <v>4</v>
      </c>
      <c r="D126">
        <v>1108562.31</v>
      </c>
    </row>
    <row r="127" spans="1:4" x14ac:dyDescent="0.3">
      <c r="A127" s="2">
        <v>13</v>
      </c>
      <c r="B127" s="7">
        <v>659921.24</v>
      </c>
      <c r="C127">
        <v>5</v>
      </c>
      <c r="D127">
        <v>716956.77999999991</v>
      </c>
    </row>
    <row r="128" spans="1:4" x14ac:dyDescent="0.3">
      <c r="A128" s="2">
        <v>14</v>
      </c>
      <c r="B128" s="7">
        <v>787278.39000000013</v>
      </c>
      <c r="C128">
        <v>6</v>
      </c>
      <c r="D128">
        <v>671099.86</v>
      </c>
    </row>
    <row r="129" spans="1:4" x14ac:dyDescent="0.3">
      <c r="A129" s="2">
        <v>15</v>
      </c>
      <c r="B129" s="7">
        <v>594678.82000000007</v>
      </c>
      <c r="C129">
        <v>7</v>
      </c>
      <c r="D129">
        <v>572622.49</v>
      </c>
    </row>
    <row r="130" spans="1:4" x14ac:dyDescent="0.3">
      <c r="A130" s="2">
        <v>16</v>
      </c>
      <c r="B130" s="7">
        <v>1296231.51</v>
      </c>
      <c r="C130">
        <v>8</v>
      </c>
      <c r="D130">
        <v>638107.69000000006</v>
      </c>
    </row>
    <row r="131" spans="1:4" x14ac:dyDescent="0.3">
      <c r="A131" s="2">
        <v>17</v>
      </c>
      <c r="B131" s="7">
        <v>1368654.17</v>
      </c>
      <c r="C131">
        <v>9</v>
      </c>
      <c r="D131">
        <v>730446.57000000007</v>
      </c>
    </row>
    <row r="132" spans="1:4" x14ac:dyDescent="0.3">
      <c r="A132" s="2">
        <v>18</v>
      </c>
      <c r="B132" s="7">
        <v>1133001.8500000001</v>
      </c>
      <c r="C132">
        <v>10</v>
      </c>
      <c r="D132">
        <v>795336.3899999999</v>
      </c>
    </row>
    <row r="133" spans="1:4" x14ac:dyDescent="0.3">
      <c r="A133" s="2">
        <v>19</v>
      </c>
      <c r="B133" s="7">
        <v>834588.6</v>
      </c>
      <c r="C133">
        <v>11</v>
      </c>
      <c r="D133">
        <v>1032079.8399999999</v>
      </c>
    </row>
    <row r="134" spans="1:4" x14ac:dyDescent="0.3">
      <c r="A134" s="2">
        <v>20</v>
      </c>
      <c r="B134" s="7">
        <v>533734.71</v>
      </c>
      <c r="C134">
        <v>12</v>
      </c>
      <c r="D134">
        <v>662203.64</v>
      </c>
    </row>
    <row r="135" spans="1:4" x14ac:dyDescent="0.3">
      <c r="A135" s="2">
        <v>21</v>
      </c>
      <c r="B135" s="7">
        <v>514356.22000000003</v>
      </c>
      <c r="C135">
        <v>13</v>
      </c>
      <c r="D135">
        <v>659921.24</v>
      </c>
    </row>
    <row r="136" spans="1:4" x14ac:dyDescent="0.3">
      <c r="A136" s="2">
        <v>22</v>
      </c>
      <c r="B136" s="7">
        <v>651364.68999999994</v>
      </c>
      <c r="C136">
        <v>14</v>
      </c>
      <c r="D136">
        <v>787278.39000000013</v>
      </c>
    </row>
    <row r="137" spans="1:4" x14ac:dyDescent="0.3">
      <c r="A137" s="2">
        <v>23</v>
      </c>
      <c r="B137" s="7">
        <v>1134922.8899999997</v>
      </c>
      <c r="C137">
        <v>15</v>
      </c>
      <c r="D137">
        <v>594678.82000000007</v>
      </c>
    </row>
    <row r="138" spans="1:4" x14ac:dyDescent="0.3">
      <c r="A138" s="2">
        <v>24</v>
      </c>
      <c r="B138" s="7">
        <v>722007.66999999993</v>
      </c>
      <c r="C138">
        <v>16</v>
      </c>
      <c r="D138">
        <v>1296231.51</v>
      </c>
    </row>
    <row r="139" spans="1:4" x14ac:dyDescent="0.3">
      <c r="A139" s="2">
        <v>25</v>
      </c>
      <c r="B139" s="7">
        <v>1041352.7799999998</v>
      </c>
      <c r="C139">
        <v>17</v>
      </c>
      <c r="D139">
        <v>1368654.17</v>
      </c>
    </row>
    <row r="140" spans="1:4" x14ac:dyDescent="0.3">
      <c r="A140" s="2">
        <v>26</v>
      </c>
      <c r="B140" s="7">
        <v>1268627.8700000001</v>
      </c>
      <c r="C140">
        <v>18</v>
      </c>
      <c r="D140">
        <v>1133001.8500000001</v>
      </c>
    </row>
    <row r="141" spans="1:4" x14ac:dyDescent="0.3">
      <c r="A141" s="2">
        <v>27</v>
      </c>
      <c r="B141" s="7">
        <v>467034.27999999997</v>
      </c>
      <c r="C141">
        <v>19</v>
      </c>
      <c r="D141">
        <v>834588.6</v>
      </c>
    </row>
    <row r="142" spans="1:4" x14ac:dyDescent="0.3">
      <c r="A142" s="2">
        <v>28</v>
      </c>
      <c r="B142" s="7">
        <v>603185.86</v>
      </c>
      <c r="C142">
        <v>20</v>
      </c>
      <c r="D142">
        <v>533734.71</v>
      </c>
    </row>
    <row r="143" spans="1:4" x14ac:dyDescent="0.3">
      <c r="A143" s="2">
        <v>29</v>
      </c>
      <c r="B143" s="7">
        <v>1289081.72</v>
      </c>
      <c r="C143">
        <v>21</v>
      </c>
      <c r="D143">
        <v>514356.22000000003</v>
      </c>
    </row>
    <row r="144" spans="1:4" x14ac:dyDescent="0.3">
      <c r="A144" s="2">
        <v>30</v>
      </c>
      <c r="B144" s="7">
        <v>789253.54000000015</v>
      </c>
      <c r="C144">
        <v>22</v>
      </c>
      <c r="D144">
        <v>651364.68999999994</v>
      </c>
    </row>
    <row r="145" spans="1:4" x14ac:dyDescent="0.3">
      <c r="A145" s="2">
        <v>31</v>
      </c>
      <c r="B145" s="7">
        <v>473468.44000000006</v>
      </c>
      <c r="C145">
        <v>23</v>
      </c>
      <c r="D145">
        <v>1134922.8899999997</v>
      </c>
    </row>
    <row r="146" spans="1:4" x14ac:dyDescent="0.3">
      <c r="A146" s="2">
        <v>32</v>
      </c>
      <c r="B146" s="7">
        <v>838654.58</v>
      </c>
      <c r="C146">
        <v>24</v>
      </c>
      <c r="D146">
        <v>722007.66999999993</v>
      </c>
    </row>
    <row r="147" spans="1:4" x14ac:dyDescent="0.3">
      <c r="A147" s="2">
        <v>33</v>
      </c>
      <c r="B147" s="7">
        <v>745717.26</v>
      </c>
      <c r="C147">
        <v>25</v>
      </c>
      <c r="D147">
        <v>1041352.7799999998</v>
      </c>
    </row>
    <row r="148" spans="1:4" x14ac:dyDescent="0.3">
      <c r="A148" s="2">
        <v>34</v>
      </c>
      <c r="B148" s="7">
        <v>662403.70000000007</v>
      </c>
      <c r="C148">
        <v>26</v>
      </c>
      <c r="D148">
        <v>1268627.8700000001</v>
      </c>
    </row>
    <row r="149" spans="1:4" x14ac:dyDescent="0.3">
      <c r="A149" s="2">
        <v>35</v>
      </c>
      <c r="B149" s="7">
        <v>847715.8</v>
      </c>
      <c r="C149">
        <v>27</v>
      </c>
      <c r="D149">
        <v>467034.27999999997</v>
      </c>
    </row>
    <row r="150" spans="1:4" x14ac:dyDescent="0.3">
      <c r="A150" s="2">
        <v>36</v>
      </c>
      <c r="B150" s="7">
        <v>604365.29999999993</v>
      </c>
      <c r="C150">
        <v>28</v>
      </c>
      <c r="D150">
        <v>603185.86</v>
      </c>
    </row>
    <row r="151" spans="1:4" x14ac:dyDescent="0.3">
      <c r="A151" s="2">
        <v>37</v>
      </c>
      <c r="B151" s="7">
        <v>1212085.3500000001</v>
      </c>
      <c r="C151">
        <v>29</v>
      </c>
      <c r="D151">
        <v>1289081.72</v>
      </c>
    </row>
    <row r="152" spans="1:4" x14ac:dyDescent="0.3">
      <c r="A152" s="2">
        <v>38</v>
      </c>
      <c r="B152" s="7">
        <v>1359214.07</v>
      </c>
      <c r="C152">
        <v>30</v>
      </c>
      <c r="D152">
        <v>789253.54000000015</v>
      </c>
    </row>
    <row r="153" spans="1:4" x14ac:dyDescent="0.3">
      <c r="A153" s="2">
        <v>39</v>
      </c>
      <c r="B153" s="7">
        <v>584776.14</v>
      </c>
      <c r="C153">
        <v>31</v>
      </c>
      <c r="D153">
        <v>473468.44000000006</v>
      </c>
    </row>
    <row r="154" spans="1:4" x14ac:dyDescent="0.3">
      <c r="A154" s="2">
        <v>40</v>
      </c>
      <c r="B154" s="7">
        <v>1468231.0699999998</v>
      </c>
      <c r="C154">
        <v>32</v>
      </c>
      <c r="D154">
        <v>838654.58</v>
      </c>
    </row>
    <row r="155" spans="1:4" x14ac:dyDescent="0.3">
      <c r="A155" s="2">
        <v>41</v>
      </c>
      <c r="B155" s="7">
        <v>588651.11</v>
      </c>
      <c r="C155">
        <v>33</v>
      </c>
      <c r="D155">
        <v>745717.26</v>
      </c>
    </row>
    <row r="156" spans="1:4" x14ac:dyDescent="0.3">
      <c r="A156" s="2">
        <v>42</v>
      </c>
      <c r="B156" s="7">
        <v>690810.71</v>
      </c>
      <c r="C156">
        <v>34</v>
      </c>
      <c r="D156">
        <v>662403.70000000007</v>
      </c>
    </row>
    <row r="157" spans="1:4" x14ac:dyDescent="0.3">
      <c r="A157" s="2">
        <v>43</v>
      </c>
      <c r="B157" s="7">
        <v>818531.56</v>
      </c>
      <c r="C157">
        <v>35</v>
      </c>
      <c r="D157">
        <v>847715.8</v>
      </c>
    </row>
    <row r="158" spans="1:4" x14ac:dyDescent="0.3">
      <c r="A158" s="2">
        <v>44</v>
      </c>
      <c r="B158" s="7">
        <v>1044485.9000000001</v>
      </c>
      <c r="C158">
        <v>36</v>
      </c>
      <c r="D158">
        <v>604365.29999999993</v>
      </c>
    </row>
    <row r="159" spans="1:4" x14ac:dyDescent="0.3">
      <c r="A159" s="2">
        <v>45</v>
      </c>
      <c r="B159" s="7">
        <v>764571.37</v>
      </c>
      <c r="C159">
        <v>37</v>
      </c>
      <c r="D159">
        <v>1212085.3500000001</v>
      </c>
    </row>
    <row r="160" spans="1:4" x14ac:dyDescent="0.3">
      <c r="A160" s="2">
        <v>46</v>
      </c>
      <c r="B160" s="7">
        <v>1039138.1799999999</v>
      </c>
      <c r="C160">
        <v>38</v>
      </c>
      <c r="D160">
        <v>1359214.07</v>
      </c>
    </row>
    <row r="161" spans="1:4" x14ac:dyDescent="0.3">
      <c r="A161" s="2">
        <v>47</v>
      </c>
      <c r="B161" s="7">
        <v>1250215.47</v>
      </c>
      <c r="C161">
        <v>39</v>
      </c>
      <c r="D161">
        <v>584776.14</v>
      </c>
    </row>
    <row r="162" spans="1:4" x14ac:dyDescent="0.3">
      <c r="A162" s="2">
        <v>48</v>
      </c>
      <c r="B162" s="7">
        <v>715116.44000000006</v>
      </c>
      <c r="C162">
        <v>40</v>
      </c>
      <c r="D162">
        <v>1468231.0699999998</v>
      </c>
    </row>
    <row r="163" spans="1:4" x14ac:dyDescent="0.3">
      <c r="A163" s="2">
        <v>49</v>
      </c>
      <c r="B163" s="7">
        <v>545218.89</v>
      </c>
      <c r="C163">
        <v>41</v>
      </c>
      <c r="D163">
        <v>588651.11</v>
      </c>
    </row>
    <row r="164" spans="1:4" x14ac:dyDescent="0.3">
      <c r="A164" s="2">
        <v>50</v>
      </c>
      <c r="B164" s="7">
        <v>1499265</v>
      </c>
      <c r="C164">
        <v>42</v>
      </c>
      <c r="D164">
        <v>690810.71</v>
      </c>
    </row>
    <row r="165" spans="1:4" x14ac:dyDescent="0.3">
      <c r="A165" s="2">
        <v>51</v>
      </c>
      <c r="B165" s="7">
        <v>1178112.79</v>
      </c>
      <c r="C165">
        <v>43</v>
      </c>
      <c r="D165">
        <v>818531.56</v>
      </c>
    </row>
    <row r="166" spans="1:4" x14ac:dyDescent="0.3">
      <c r="A166" s="2">
        <v>52</v>
      </c>
      <c r="B166" s="7">
        <v>585370.25</v>
      </c>
      <c r="C166">
        <v>44</v>
      </c>
      <c r="D166">
        <v>1044485.9000000001</v>
      </c>
    </row>
    <row r="167" spans="1:4" x14ac:dyDescent="0.3">
      <c r="A167" s="2">
        <v>53</v>
      </c>
      <c r="B167" s="7">
        <v>425753.89999999997</v>
      </c>
      <c r="C167">
        <v>45</v>
      </c>
      <c r="D167">
        <v>764571.37</v>
      </c>
    </row>
    <row r="168" spans="1:4" x14ac:dyDescent="0.3">
      <c r="A168" s="2">
        <v>54</v>
      </c>
      <c r="B168" s="7">
        <v>715891.72</v>
      </c>
      <c r="C168">
        <v>46</v>
      </c>
      <c r="D168">
        <v>1039138.1799999999</v>
      </c>
    </row>
    <row r="169" spans="1:4" x14ac:dyDescent="0.3">
      <c r="A169" s="2">
        <v>55</v>
      </c>
      <c r="B169" s="7">
        <v>511461.84999999992</v>
      </c>
      <c r="C169">
        <v>47</v>
      </c>
      <c r="D169">
        <v>1250215.47</v>
      </c>
    </row>
    <row r="170" spans="1:4" x14ac:dyDescent="0.3">
      <c r="A170" s="2">
        <v>56</v>
      </c>
      <c r="B170" s="7">
        <v>874963.05</v>
      </c>
      <c r="C170">
        <v>48</v>
      </c>
      <c r="D170">
        <v>715116.44000000006</v>
      </c>
    </row>
    <row r="171" spans="1:4" x14ac:dyDescent="0.3">
      <c r="A171" s="2">
        <v>57</v>
      </c>
      <c r="B171" s="7">
        <v>1173184.9300000002</v>
      </c>
      <c r="C171">
        <v>49</v>
      </c>
      <c r="D171">
        <v>545218.89</v>
      </c>
    </row>
    <row r="172" spans="1:4" x14ac:dyDescent="0.3">
      <c r="A172" s="2">
        <v>58</v>
      </c>
      <c r="B172" s="7">
        <v>780563.03999999992</v>
      </c>
      <c r="C172">
        <v>50</v>
      </c>
      <c r="D172">
        <v>1499265</v>
      </c>
    </row>
    <row r="173" spans="1:4" x14ac:dyDescent="0.3">
      <c r="A173" s="2">
        <v>59</v>
      </c>
      <c r="B173" s="7">
        <v>908027.75000000012</v>
      </c>
      <c r="C173">
        <v>51</v>
      </c>
      <c r="D173">
        <v>1178112.79</v>
      </c>
    </row>
    <row r="174" spans="1:4" x14ac:dyDescent="0.3">
      <c r="A174" s="2">
        <v>60</v>
      </c>
      <c r="B174" s="7">
        <v>1104479.3700000001</v>
      </c>
      <c r="C174">
        <v>52</v>
      </c>
      <c r="D174">
        <v>585370.25</v>
      </c>
    </row>
    <row r="175" spans="1:4" x14ac:dyDescent="0.3">
      <c r="A175" s="2">
        <v>61</v>
      </c>
      <c r="B175" s="7">
        <v>563412.68000000005</v>
      </c>
      <c r="C175">
        <v>53</v>
      </c>
      <c r="D175">
        <v>425753.89999999997</v>
      </c>
    </row>
    <row r="176" spans="1:4" x14ac:dyDescent="0.3">
      <c r="A176" s="2">
        <v>62</v>
      </c>
      <c r="B176" s="7">
        <v>1184788.3199999998</v>
      </c>
      <c r="C176">
        <v>54</v>
      </c>
      <c r="D176">
        <v>715891.72</v>
      </c>
    </row>
    <row r="177" spans="1:4" x14ac:dyDescent="0.3">
      <c r="A177" s="2">
        <v>63</v>
      </c>
      <c r="B177" s="7">
        <v>710106.38000000012</v>
      </c>
      <c r="C177">
        <v>55</v>
      </c>
      <c r="D177">
        <v>511461.84999999992</v>
      </c>
    </row>
    <row r="178" spans="1:4" x14ac:dyDescent="0.3">
      <c r="A178" s="2">
        <v>64</v>
      </c>
      <c r="B178" s="7">
        <v>472191.76</v>
      </c>
      <c r="C178">
        <v>56</v>
      </c>
      <c r="D178">
        <v>874963.05</v>
      </c>
    </row>
    <row r="179" spans="1:4" x14ac:dyDescent="0.3">
      <c r="A179" s="2">
        <v>65</v>
      </c>
      <c r="B179" s="7">
        <v>759181.55999999994</v>
      </c>
      <c r="C179">
        <v>57</v>
      </c>
      <c r="D179">
        <v>1173184.9300000002</v>
      </c>
    </row>
    <row r="180" spans="1:4" x14ac:dyDescent="0.3">
      <c r="A180" s="2">
        <v>66</v>
      </c>
      <c r="B180" s="7">
        <v>468141.07</v>
      </c>
      <c r="C180">
        <v>58</v>
      </c>
      <c r="D180">
        <v>780563.03999999992</v>
      </c>
    </row>
    <row r="181" spans="1:4" x14ac:dyDescent="0.3">
      <c r="A181" s="2">
        <v>67</v>
      </c>
      <c r="B181" s="7">
        <v>920587.23999999987</v>
      </c>
      <c r="C181">
        <v>59</v>
      </c>
      <c r="D181">
        <v>908027.75000000012</v>
      </c>
    </row>
    <row r="182" spans="1:4" x14ac:dyDescent="0.3">
      <c r="A182" s="2">
        <v>68</v>
      </c>
      <c r="B182" s="7">
        <v>835001.78999999992</v>
      </c>
      <c r="C182">
        <v>60</v>
      </c>
      <c r="D182">
        <v>1104479.3700000001</v>
      </c>
    </row>
    <row r="183" spans="1:4" x14ac:dyDescent="0.3">
      <c r="A183" s="2">
        <v>69</v>
      </c>
      <c r="B183" s="7">
        <v>814140.02</v>
      </c>
      <c r="C183">
        <v>61</v>
      </c>
      <c r="D183">
        <v>563412.68000000005</v>
      </c>
    </row>
    <row r="184" spans="1:4" x14ac:dyDescent="0.3">
      <c r="A184" s="2">
        <v>70</v>
      </c>
      <c r="B184" s="7">
        <v>771318.28</v>
      </c>
      <c r="C184">
        <v>62</v>
      </c>
      <c r="D184">
        <v>1184788.3199999998</v>
      </c>
    </row>
    <row r="185" spans="1:4" x14ac:dyDescent="0.3">
      <c r="A185" s="2">
        <v>71</v>
      </c>
      <c r="B185" s="7">
        <v>562144.35</v>
      </c>
      <c r="C185">
        <v>63</v>
      </c>
      <c r="D185">
        <v>710106.38000000012</v>
      </c>
    </row>
    <row r="186" spans="1:4" x14ac:dyDescent="0.3">
      <c r="A186" s="2">
        <v>72</v>
      </c>
      <c r="B186" s="7">
        <v>929459.6</v>
      </c>
      <c r="C186">
        <v>64</v>
      </c>
      <c r="D186">
        <v>472191.76</v>
      </c>
    </row>
    <row r="187" spans="1:4" x14ac:dyDescent="0.3">
      <c r="A187" s="2">
        <v>73</v>
      </c>
      <c r="B187" s="7">
        <v>583192.78</v>
      </c>
      <c r="C187">
        <v>65</v>
      </c>
      <c r="D187">
        <v>759181.55999999994</v>
      </c>
    </row>
    <row r="188" spans="1:4" x14ac:dyDescent="0.3">
      <c r="A188" s="2">
        <v>74</v>
      </c>
      <c r="B188" s="7">
        <v>484868.55999999994</v>
      </c>
      <c r="C188">
        <v>66</v>
      </c>
      <c r="D188">
        <v>468141.07</v>
      </c>
    </row>
    <row r="189" spans="1:4" x14ac:dyDescent="0.3">
      <c r="A189" s="2">
        <v>75</v>
      </c>
      <c r="B189" s="7">
        <v>1116155.19</v>
      </c>
      <c r="C189">
        <v>67</v>
      </c>
      <c r="D189">
        <v>920587.23999999987</v>
      </c>
    </row>
    <row r="190" spans="1:4" x14ac:dyDescent="0.3">
      <c r="A190" s="2">
        <v>76</v>
      </c>
      <c r="B190" s="7">
        <v>1197465.71</v>
      </c>
      <c r="C190">
        <v>68</v>
      </c>
      <c r="D190">
        <v>835001.78999999992</v>
      </c>
    </row>
    <row r="191" spans="1:4" x14ac:dyDescent="0.3">
      <c r="A191" s="2">
        <v>77</v>
      </c>
      <c r="B191" s="7">
        <v>1016502.41</v>
      </c>
      <c r="C191">
        <v>69</v>
      </c>
      <c r="D191">
        <v>814140.02</v>
      </c>
    </row>
    <row r="192" spans="1:4" x14ac:dyDescent="0.3">
      <c r="A192" s="2">
        <v>78</v>
      </c>
      <c r="B192" s="7">
        <v>868593.6100000001</v>
      </c>
      <c r="C192">
        <v>70</v>
      </c>
      <c r="D192">
        <v>771318.28</v>
      </c>
    </row>
    <row r="193" spans="1:4" x14ac:dyDescent="0.3">
      <c r="A193" s="2">
        <v>79</v>
      </c>
      <c r="B193" s="7">
        <v>879733.3</v>
      </c>
      <c r="C193">
        <v>71</v>
      </c>
      <c r="D193">
        <v>562144.35</v>
      </c>
    </row>
    <row r="194" spans="1:4" x14ac:dyDescent="0.3">
      <c r="A194" s="2">
        <v>80</v>
      </c>
      <c r="B194" s="7">
        <v>1349544.9300000002</v>
      </c>
      <c r="C194">
        <v>72</v>
      </c>
      <c r="D194">
        <v>929459.6</v>
      </c>
    </row>
    <row r="195" spans="1:4" x14ac:dyDescent="0.3">
      <c r="A195" s="2">
        <v>81</v>
      </c>
      <c r="B195" s="7">
        <v>697927.15</v>
      </c>
      <c r="C195">
        <v>73</v>
      </c>
      <c r="D195">
        <v>583192.78</v>
      </c>
    </row>
    <row r="196" spans="1:4" x14ac:dyDescent="0.3">
      <c r="A196" s="2">
        <v>82</v>
      </c>
      <c r="B196" s="7">
        <v>1188394.25</v>
      </c>
      <c r="C196">
        <v>74</v>
      </c>
      <c r="D196">
        <v>484868.55999999994</v>
      </c>
    </row>
    <row r="197" spans="1:4" x14ac:dyDescent="0.3">
      <c r="A197" s="2">
        <v>83</v>
      </c>
      <c r="B197" s="7">
        <v>917970.7799999998</v>
      </c>
      <c r="C197">
        <v>75</v>
      </c>
      <c r="D197">
        <v>1116155.19</v>
      </c>
    </row>
    <row r="198" spans="1:4" x14ac:dyDescent="0.3">
      <c r="A198" s="2">
        <v>84</v>
      </c>
      <c r="B198" s="7">
        <v>576491.41</v>
      </c>
      <c r="C198">
        <v>76</v>
      </c>
      <c r="D198">
        <v>1197465.71</v>
      </c>
    </row>
    <row r="199" spans="1:4" x14ac:dyDescent="0.3">
      <c r="A199" s="2">
        <v>85</v>
      </c>
      <c r="B199" s="7">
        <v>921060.76</v>
      </c>
      <c r="C199">
        <v>77</v>
      </c>
      <c r="D199">
        <v>1016502.41</v>
      </c>
    </row>
    <row r="200" spans="1:4" x14ac:dyDescent="0.3">
      <c r="A200" s="2">
        <v>86</v>
      </c>
      <c r="B200" s="7">
        <v>1053455.2100000002</v>
      </c>
      <c r="C200">
        <v>78</v>
      </c>
      <c r="D200">
        <v>868593.6100000001</v>
      </c>
    </row>
    <row r="201" spans="1:4" x14ac:dyDescent="0.3">
      <c r="A201" s="2">
        <v>87</v>
      </c>
      <c r="B201" s="7">
        <v>710296.06999999983</v>
      </c>
      <c r="C201">
        <v>79</v>
      </c>
      <c r="D201">
        <v>879733.3</v>
      </c>
    </row>
    <row r="202" spans="1:4" x14ac:dyDescent="0.3">
      <c r="A202" s="2">
        <v>88</v>
      </c>
      <c r="B202" s="7">
        <v>706487.56</v>
      </c>
      <c r="C202">
        <v>80</v>
      </c>
      <c r="D202">
        <v>1349544.9300000002</v>
      </c>
    </row>
    <row r="203" spans="1:4" x14ac:dyDescent="0.3">
      <c r="A203" s="2">
        <v>89</v>
      </c>
      <c r="B203" s="7">
        <v>735916.05</v>
      </c>
      <c r="C203">
        <v>81</v>
      </c>
      <c r="D203">
        <v>697927.15</v>
      </c>
    </row>
    <row r="204" spans="1:4" x14ac:dyDescent="0.3">
      <c r="A204" s="2">
        <v>90</v>
      </c>
      <c r="B204" s="7">
        <v>1248644.1199999999</v>
      </c>
      <c r="C204">
        <v>82</v>
      </c>
      <c r="D204">
        <v>1188394.25</v>
      </c>
    </row>
    <row r="205" spans="1:4" x14ac:dyDescent="0.3">
      <c r="A205" s="2" t="s">
        <v>1508</v>
      </c>
      <c r="B205" s="7">
        <v>76191351.939999998</v>
      </c>
      <c r="C205">
        <v>83</v>
      </c>
      <c r="D205">
        <v>917970.7799999998</v>
      </c>
    </row>
    <row r="206" spans="1:4" x14ac:dyDescent="0.3">
      <c r="C206">
        <v>84</v>
      </c>
      <c r="D206">
        <v>576491.41</v>
      </c>
    </row>
    <row r="207" spans="1:4" x14ac:dyDescent="0.3">
      <c r="C207">
        <v>85</v>
      </c>
      <c r="D207">
        <v>921060.76</v>
      </c>
    </row>
    <row r="208" spans="1:4" x14ac:dyDescent="0.3">
      <c r="C208">
        <v>86</v>
      </c>
      <c r="D208">
        <v>1053455.2100000002</v>
      </c>
    </row>
    <row r="209" spans="3:4" x14ac:dyDescent="0.3">
      <c r="C209">
        <v>87</v>
      </c>
      <c r="D209">
        <v>710296.06999999983</v>
      </c>
    </row>
    <row r="210" spans="3:4" x14ac:dyDescent="0.3">
      <c r="C210">
        <v>88</v>
      </c>
      <c r="D210">
        <v>706487.56</v>
      </c>
    </row>
    <row r="211" spans="3:4" x14ac:dyDescent="0.3">
      <c r="C211">
        <v>89</v>
      </c>
      <c r="D211">
        <v>735916.05</v>
      </c>
    </row>
    <row r="212" spans="3:4" x14ac:dyDescent="0.3">
      <c r="C212">
        <v>90</v>
      </c>
      <c r="D212">
        <v>1248644.1199999999</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EAA3-BAF6-4CFC-92D8-C652BC74EC74}">
  <dimension ref="A1"/>
  <sheetViews>
    <sheetView showGridLines="0" tabSelected="1" topLeftCell="A8" workbookViewId="0">
      <selection activeCell="N50" sqref="N50"/>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Hospital_Data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sandrahari2204@outlook.com</cp:lastModifiedBy>
  <dcterms:created xsi:type="dcterms:W3CDTF">2026-06-25T04:01:45Z</dcterms:created>
  <dcterms:modified xsi:type="dcterms:W3CDTF">2026-07-20T14:55:58Z</dcterms:modified>
</cp:coreProperties>
</file>